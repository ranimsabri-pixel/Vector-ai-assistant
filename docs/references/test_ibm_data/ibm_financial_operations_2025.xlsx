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 Revenue" sheetId="1" state="visible" r:id="rId3"/>
    <sheet name="Headcount by Division" sheetId="2" state="visible" r:id="rId4"/>
    <sheet name="NPS by Product" sheetId="3" state="visible" r:id="rId5"/>
    <sheet name="Support Tickets" sheetId="4" state="visible" r:id="rId6"/>
    <sheet name="ESG 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<sst xmlns="http://schemas.openxmlformats.org/spreadsheetml/2006/main" count="1067" uniqueCount="261">
  <si>
    <t xml:space="preserve">IBM — Revenus trimestriels par ligne de produit (2025, en M USD)</t>
  </si>
  <si>
    <t xml:space="preserve">Product Line</t>
  </si>
  <si>
    <t xml:space="preserve">Q1 2025</t>
  </si>
  <si>
    <t xml:space="preserve">Q2 2025</t>
  </si>
  <si>
    <t xml:space="preserve">Q3 2025</t>
  </si>
  <si>
    <t xml:space="preserve">Q4 2025</t>
  </si>
  <si>
    <t xml:space="preserve">FY 2025 Total</t>
  </si>
  <si>
    <t xml:space="preserve">IBM watsonx</t>
  </si>
  <si>
    <t xml:space="preserve">IBM Cloud Pak</t>
  </si>
  <si>
    <t xml:space="preserve">IBM Z Systems</t>
  </si>
  <si>
    <t xml:space="preserve">IBM Consulting</t>
  </si>
  <si>
    <t xml:space="preserve">IBM Security QRadar</t>
  </si>
  <si>
    <t xml:space="preserve">IBM Storage</t>
  </si>
  <si>
    <t xml:space="preserve">IBM Quantum</t>
  </si>
  <si>
    <t xml:space="preserve">Red Hat OpenShift</t>
  </si>
  <si>
    <t xml:space="preserve">Total</t>
  </si>
  <si>
    <t xml:space="preserve">IBM — Effectifs par division (2025, à fin de trimestre)</t>
  </si>
  <si>
    <t xml:space="preserve">Division</t>
  </si>
  <si>
    <t xml:space="preserve">YoY Change (%)</t>
  </si>
  <si>
    <t xml:space="preserve">Software (watsonx + Cloud Pak)</t>
  </si>
  <si>
    <t xml:space="preserve">Consulting Services</t>
  </si>
  <si>
    <t xml:space="preserve">Infrastructure (Z + Storage)</t>
  </si>
  <si>
    <t xml:space="preserve">Research (Quantum + AI)</t>
  </si>
  <si>
    <t xml:space="preserve">Financing (IBM Global Finance)</t>
  </si>
  <si>
    <t xml:space="preserve">Corporate &amp; Functions</t>
  </si>
  <si>
    <t xml:space="preserve">Total Group</t>
  </si>
  <si>
    <t xml:space="preserve">IBM — Net Promoter Score (NPS) par produit — 2025</t>
  </si>
  <si>
    <t xml:space="preserve">FY 2025 Average</t>
  </si>
  <si>
    <t xml:space="preserve">IBM — Tickets support technique (échantillon 2025)</t>
  </si>
  <si>
    <t xml:space="preserve">Ticket ID</t>
  </si>
  <si>
    <t xml:space="preserve">Open Date</t>
  </si>
  <si>
    <t xml:space="preserve">Product</t>
  </si>
  <si>
    <t xml:space="preserve">Priority</t>
  </si>
  <si>
    <t xml:space="preserve">Region</t>
  </si>
  <si>
    <t xml:space="preserve">Resolution Time (h)</t>
  </si>
  <si>
    <t xml:space="preserve">Satisfaction (1-5)</t>
  </si>
  <si>
    <t xml:space="preserve">Status</t>
  </si>
  <si>
    <t xml:space="preserve">TCK-00001</t>
  </si>
  <si>
    <t xml:space="preserve">High</t>
  </si>
  <si>
    <t xml:space="preserve">Americas</t>
  </si>
  <si>
    <t xml:space="preserve">In Progress</t>
  </si>
  <si>
    <t xml:space="preserve">TCK-00002</t>
  </si>
  <si>
    <t xml:space="preserve">Medium</t>
  </si>
  <si>
    <t xml:space="preserve">EMEA</t>
  </si>
  <si>
    <t xml:space="preserve">Resolved</t>
  </si>
  <si>
    <t xml:space="preserve">TCK-00003</t>
  </si>
  <si>
    <t xml:space="preserve">Asia Pacific</t>
  </si>
  <si>
    <t xml:space="preserve">TCK-00004</t>
  </si>
  <si>
    <t xml:space="preserve">Japan</t>
  </si>
  <si>
    <t xml:space="preserve">TCK-00005</t>
  </si>
  <si>
    <t xml:space="preserve">Critical</t>
  </si>
  <si>
    <t xml:space="preserve">Escalated</t>
  </si>
  <si>
    <t xml:space="preserve">TCK-00006</t>
  </si>
  <si>
    <t xml:space="preserve">TCK-00007</t>
  </si>
  <si>
    <t xml:space="preserve">TCK-00008</t>
  </si>
  <si>
    <t xml:space="preserve">TCK-00009</t>
  </si>
  <si>
    <t xml:space="preserve">TCK-00010</t>
  </si>
  <si>
    <t xml:space="preserve">TCK-00011</t>
  </si>
  <si>
    <t xml:space="preserve">TCK-00012</t>
  </si>
  <si>
    <t xml:space="preserve">TCK-00013</t>
  </si>
  <si>
    <t xml:space="preserve">Low</t>
  </si>
  <si>
    <t xml:space="preserve">TCK-00014</t>
  </si>
  <si>
    <t xml:space="preserve">TCK-00015</t>
  </si>
  <si>
    <t xml:space="preserve">TCK-00016</t>
  </si>
  <si>
    <t xml:space="preserve">TCK-00017</t>
  </si>
  <si>
    <t xml:space="preserve">TCK-00018</t>
  </si>
  <si>
    <t xml:space="preserve">TCK-00019</t>
  </si>
  <si>
    <t xml:space="preserve">TCK-00020</t>
  </si>
  <si>
    <t xml:space="preserve">TCK-00021</t>
  </si>
  <si>
    <t xml:space="preserve">TCK-00022</t>
  </si>
  <si>
    <t xml:space="preserve">TCK-00023</t>
  </si>
  <si>
    <t xml:space="preserve">TCK-00024</t>
  </si>
  <si>
    <t xml:space="preserve">TCK-00025</t>
  </si>
  <si>
    <t xml:space="preserve">TCK-00026</t>
  </si>
  <si>
    <t xml:space="preserve">TCK-00027</t>
  </si>
  <si>
    <t xml:space="preserve">TCK-00028</t>
  </si>
  <si>
    <t xml:space="preserve">TCK-00029</t>
  </si>
  <si>
    <t xml:space="preserve">TCK-00030</t>
  </si>
  <si>
    <t xml:space="preserve">TCK-00031</t>
  </si>
  <si>
    <t xml:space="preserve">TCK-00032</t>
  </si>
  <si>
    <t xml:space="preserve">TCK-00033</t>
  </si>
  <si>
    <t xml:space="preserve">TCK-00034</t>
  </si>
  <si>
    <t xml:space="preserve">TCK-00035</t>
  </si>
  <si>
    <t xml:space="preserve">TCK-00036</t>
  </si>
  <si>
    <t xml:space="preserve">TCK-00037</t>
  </si>
  <si>
    <t xml:space="preserve">TCK-00038</t>
  </si>
  <si>
    <t xml:space="preserve">TCK-00039</t>
  </si>
  <si>
    <t xml:space="preserve">TCK-00040</t>
  </si>
  <si>
    <t xml:space="preserve">TCK-00041</t>
  </si>
  <si>
    <t xml:space="preserve">TCK-00042</t>
  </si>
  <si>
    <t xml:space="preserve">TCK-00043</t>
  </si>
  <si>
    <t xml:space="preserve">TCK-00044</t>
  </si>
  <si>
    <t xml:space="preserve">TCK-00045</t>
  </si>
  <si>
    <t xml:space="preserve">TCK-00046</t>
  </si>
  <si>
    <t xml:space="preserve">TCK-00047</t>
  </si>
  <si>
    <t xml:space="preserve">TCK-00048</t>
  </si>
  <si>
    <t xml:space="preserve">TCK-00049</t>
  </si>
  <si>
    <t xml:space="preserve">TCK-00050</t>
  </si>
  <si>
    <t xml:space="preserve">TCK-00051</t>
  </si>
  <si>
    <t xml:space="preserve">TCK-00052</t>
  </si>
  <si>
    <t xml:space="preserve">TCK-00053</t>
  </si>
  <si>
    <t xml:space="preserve">TCK-00054</t>
  </si>
  <si>
    <t xml:space="preserve">TCK-00055</t>
  </si>
  <si>
    <t xml:space="preserve">TCK-00056</t>
  </si>
  <si>
    <t xml:space="preserve">TCK-00057</t>
  </si>
  <si>
    <t xml:space="preserve">TCK-00058</t>
  </si>
  <si>
    <t xml:space="preserve">TCK-00059</t>
  </si>
  <si>
    <t xml:space="preserve">TCK-00060</t>
  </si>
  <si>
    <t xml:space="preserve">TCK-00061</t>
  </si>
  <si>
    <t xml:space="preserve">TCK-00062</t>
  </si>
  <si>
    <t xml:space="preserve">TCK-00063</t>
  </si>
  <si>
    <t xml:space="preserve">TCK-00064</t>
  </si>
  <si>
    <t xml:space="preserve">TCK-00065</t>
  </si>
  <si>
    <t xml:space="preserve">TCK-00066</t>
  </si>
  <si>
    <t xml:space="preserve">TCK-00067</t>
  </si>
  <si>
    <t xml:space="preserve">TCK-00068</t>
  </si>
  <si>
    <t xml:space="preserve">TCK-00069</t>
  </si>
  <si>
    <t xml:space="preserve">TCK-00070</t>
  </si>
  <si>
    <t xml:space="preserve">TCK-00071</t>
  </si>
  <si>
    <t xml:space="preserve">TCK-00072</t>
  </si>
  <si>
    <t xml:space="preserve">TCK-00073</t>
  </si>
  <si>
    <t xml:space="preserve">TCK-00074</t>
  </si>
  <si>
    <t xml:space="preserve">TCK-00075</t>
  </si>
  <si>
    <t xml:space="preserve">TCK-00076</t>
  </si>
  <si>
    <t xml:space="preserve">TCK-00077</t>
  </si>
  <si>
    <t xml:space="preserve">TCK-00078</t>
  </si>
  <si>
    <t xml:space="preserve">TCK-00079</t>
  </si>
  <si>
    <t xml:space="preserve">TCK-00080</t>
  </si>
  <si>
    <t xml:space="preserve">TCK-00081</t>
  </si>
  <si>
    <t xml:space="preserve">TCK-00082</t>
  </si>
  <si>
    <t xml:space="preserve">TCK-00083</t>
  </si>
  <si>
    <t xml:space="preserve">TCK-00084</t>
  </si>
  <si>
    <t xml:space="preserve">TCK-00085</t>
  </si>
  <si>
    <t xml:space="preserve">TCK-00086</t>
  </si>
  <si>
    <t xml:space="preserve">TCK-00087</t>
  </si>
  <si>
    <t xml:space="preserve">TCK-00088</t>
  </si>
  <si>
    <t xml:space="preserve">TCK-00089</t>
  </si>
  <si>
    <t xml:space="preserve">TCK-00090</t>
  </si>
  <si>
    <t xml:space="preserve">TCK-00091</t>
  </si>
  <si>
    <t xml:space="preserve">TCK-00092</t>
  </si>
  <si>
    <t xml:space="preserve">TCK-00093</t>
  </si>
  <si>
    <t xml:space="preserve">TCK-00094</t>
  </si>
  <si>
    <t xml:space="preserve">TCK-00095</t>
  </si>
  <si>
    <t xml:space="preserve">TCK-00096</t>
  </si>
  <si>
    <t xml:space="preserve">TCK-00097</t>
  </si>
  <si>
    <t xml:space="preserve">TCK-00098</t>
  </si>
  <si>
    <t xml:space="preserve">TCK-00099</t>
  </si>
  <si>
    <t xml:space="preserve">TCK-00100</t>
  </si>
  <si>
    <t xml:space="preserve">TCK-00101</t>
  </si>
  <si>
    <t xml:space="preserve">TCK-00102</t>
  </si>
  <si>
    <t xml:space="preserve">TCK-00103</t>
  </si>
  <si>
    <t xml:space="preserve">TCK-00104</t>
  </si>
  <si>
    <t xml:space="preserve">TCK-00105</t>
  </si>
  <si>
    <t xml:space="preserve">TCK-00106</t>
  </si>
  <si>
    <t xml:space="preserve">TCK-00107</t>
  </si>
  <si>
    <t xml:space="preserve">TCK-00108</t>
  </si>
  <si>
    <t xml:space="preserve">TCK-00109</t>
  </si>
  <si>
    <t xml:space="preserve">TCK-00110</t>
  </si>
  <si>
    <t xml:space="preserve">TCK-00111</t>
  </si>
  <si>
    <t xml:space="preserve">TCK-00112</t>
  </si>
  <si>
    <t xml:space="preserve">TCK-00113</t>
  </si>
  <si>
    <t xml:space="preserve">TCK-00114</t>
  </si>
  <si>
    <t xml:space="preserve">TCK-00115</t>
  </si>
  <si>
    <t xml:space="preserve">TCK-00116</t>
  </si>
  <si>
    <t xml:space="preserve">TCK-00117</t>
  </si>
  <si>
    <t xml:space="preserve">TCK-00118</t>
  </si>
  <si>
    <t xml:space="preserve">TCK-00119</t>
  </si>
  <si>
    <t xml:space="preserve">TCK-00120</t>
  </si>
  <si>
    <t xml:space="preserve">TCK-00121</t>
  </si>
  <si>
    <t xml:space="preserve">TCK-00122</t>
  </si>
  <si>
    <t xml:space="preserve">TCK-00123</t>
  </si>
  <si>
    <t xml:space="preserve">TCK-00124</t>
  </si>
  <si>
    <t xml:space="preserve">TCK-00125</t>
  </si>
  <si>
    <t xml:space="preserve">TCK-00126</t>
  </si>
  <si>
    <t xml:space="preserve">TCK-00127</t>
  </si>
  <si>
    <t xml:space="preserve">TCK-00128</t>
  </si>
  <si>
    <t xml:space="preserve">TCK-00129</t>
  </si>
  <si>
    <t xml:space="preserve">TCK-00130</t>
  </si>
  <si>
    <t xml:space="preserve">TCK-00131</t>
  </si>
  <si>
    <t xml:space="preserve">TCK-00132</t>
  </si>
  <si>
    <t xml:space="preserve">TCK-00133</t>
  </si>
  <si>
    <t xml:space="preserve">TCK-00134</t>
  </si>
  <si>
    <t xml:space="preserve">TCK-00135</t>
  </si>
  <si>
    <t xml:space="preserve">TCK-00136</t>
  </si>
  <si>
    <t xml:space="preserve">TCK-00137</t>
  </si>
  <si>
    <t xml:space="preserve">TCK-00138</t>
  </si>
  <si>
    <t xml:space="preserve">TCK-00139</t>
  </si>
  <si>
    <t xml:space="preserve">TCK-00140</t>
  </si>
  <si>
    <t xml:space="preserve">TCK-00141</t>
  </si>
  <si>
    <t xml:space="preserve">TCK-00142</t>
  </si>
  <si>
    <t xml:space="preserve">TCK-00143</t>
  </si>
  <si>
    <t xml:space="preserve">TCK-00144</t>
  </si>
  <si>
    <t xml:space="preserve">TCK-00145</t>
  </si>
  <si>
    <t xml:space="preserve">TCK-00146</t>
  </si>
  <si>
    <t xml:space="preserve">TCK-00147</t>
  </si>
  <si>
    <t xml:space="preserve">TCK-00148</t>
  </si>
  <si>
    <t xml:space="preserve">TCK-00149</t>
  </si>
  <si>
    <t xml:space="preserve">TCK-00150</t>
  </si>
  <si>
    <t xml:space="preserve">TCK-00151</t>
  </si>
  <si>
    <t xml:space="preserve">TCK-00152</t>
  </si>
  <si>
    <t xml:space="preserve">TCK-00153</t>
  </si>
  <si>
    <t xml:space="preserve">TCK-00154</t>
  </si>
  <si>
    <t xml:space="preserve">TCK-00155</t>
  </si>
  <si>
    <t xml:space="preserve">TCK-00156</t>
  </si>
  <si>
    <t xml:space="preserve">TCK-00157</t>
  </si>
  <si>
    <t xml:space="preserve">TCK-00158</t>
  </si>
  <si>
    <t xml:space="preserve">TCK-00159</t>
  </si>
  <si>
    <t xml:space="preserve">TCK-00160</t>
  </si>
  <si>
    <t xml:space="preserve">TCK-00161</t>
  </si>
  <si>
    <t xml:space="preserve">TCK-00162</t>
  </si>
  <si>
    <t xml:space="preserve">TCK-00163</t>
  </si>
  <si>
    <t xml:space="preserve">TCK-00164</t>
  </si>
  <si>
    <t xml:space="preserve">TCK-00165</t>
  </si>
  <si>
    <t xml:space="preserve">TCK-00166</t>
  </si>
  <si>
    <t xml:space="preserve">TCK-00167</t>
  </si>
  <si>
    <t xml:space="preserve">TCK-00168</t>
  </si>
  <si>
    <t xml:space="preserve">TCK-00169</t>
  </si>
  <si>
    <t xml:space="preserve">TCK-00170</t>
  </si>
  <si>
    <t xml:space="preserve">TCK-00171</t>
  </si>
  <si>
    <t xml:space="preserve">TCK-00172</t>
  </si>
  <si>
    <t xml:space="preserve">TCK-00173</t>
  </si>
  <si>
    <t xml:space="preserve">TCK-00174</t>
  </si>
  <si>
    <t xml:space="preserve">TCK-00175</t>
  </si>
  <si>
    <t xml:space="preserve">TCK-00176</t>
  </si>
  <si>
    <t xml:space="preserve">TCK-00177</t>
  </si>
  <si>
    <t xml:space="preserve">TCK-00178</t>
  </si>
  <si>
    <t xml:space="preserve">TCK-00179</t>
  </si>
  <si>
    <t xml:space="preserve">TCK-00180</t>
  </si>
  <si>
    <t xml:space="preserve">TCK-00181</t>
  </si>
  <si>
    <t xml:space="preserve">TCK-00182</t>
  </si>
  <si>
    <t xml:space="preserve">TCK-00183</t>
  </si>
  <si>
    <t xml:space="preserve">TCK-00184</t>
  </si>
  <si>
    <t xml:space="preserve">TCK-00185</t>
  </si>
  <si>
    <t xml:space="preserve">TCK-00186</t>
  </si>
  <si>
    <t xml:space="preserve">TCK-00187</t>
  </si>
  <si>
    <t xml:space="preserve">TCK-00188</t>
  </si>
  <si>
    <t xml:space="preserve">TCK-00189</t>
  </si>
  <si>
    <t xml:space="preserve">TCK-00190</t>
  </si>
  <si>
    <t xml:space="preserve">TCK-00191</t>
  </si>
  <si>
    <t xml:space="preserve">TCK-00192</t>
  </si>
  <si>
    <t xml:space="preserve">TCK-00193</t>
  </si>
  <si>
    <t xml:space="preserve">TCK-00194</t>
  </si>
  <si>
    <t xml:space="preserve">TCK-00195</t>
  </si>
  <si>
    <t xml:space="preserve">TCK-00196</t>
  </si>
  <si>
    <t xml:space="preserve">TCK-00197</t>
  </si>
  <si>
    <t xml:space="preserve">TCK-00198</t>
  </si>
  <si>
    <t xml:space="preserve">TCK-00199</t>
  </si>
  <si>
    <t xml:space="preserve">TCK-00200</t>
  </si>
  <si>
    <t xml:space="preserve">IBM — Indicateurs ESG 2025</t>
  </si>
  <si>
    <t xml:space="preserve">Indicator</t>
  </si>
  <si>
    <t xml:space="preserve">Target 2025</t>
  </si>
  <si>
    <t xml:space="preserve">Actual 2025</t>
  </si>
  <si>
    <t xml:space="preserve">Achievement (%)</t>
  </si>
  <si>
    <t xml:space="preserve">CO2 emissions (kt) — Scope 1+2</t>
  </si>
  <si>
    <t xml:space="preserve">Renewable electricity usage (%)</t>
  </si>
  <si>
    <t xml:space="preserve">Water withdrawal (million m³)</t>
  </si>
  <si>
    <t xml:space="preserve">Waste diversion from landfill (%)</t>
  </si>
  <si>
    <t xml:space="preserve">Women in executive positions (%)</t>
  </si>
  <si>
    <t xml:space="preserve">Global training hours per employee</t>
  </si>
  <si>
    <t xml:space="preserve">Supplier diversity spend ($M)</t>
  </si>
  <si>
    <t xml:space="preserve">R&amp;D investment (% of revenue)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</si>
</sst>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43C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2FE"/>
        <bgColor rgb="FF3366FF"/>
      </patternFill>
    </fill>
    <fill>
      <patternFill patternType="solid">
        <fgColor rgb="FFF4F4F4"/>
        <bgColor rgb="FFFFFFFF"/>
      </patternFill>
    </fill>
    <fill>
      <patternFill patternType="solid">
        <fgColor rgb="FFE0E7FF"/>
        <bgColor rgb="FFF4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E0E7FF"/>
      <rgbColor rgb="FF660066"/>
      <rgbColor rgb="FFFF8080"/>
      <rgbColor rgb="FF0F62FE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0043C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420</v>
      </c>
      <c r="C4" s="4" t="n">
        <v>485</v>
      </c>
      <c r="D4" s="4" t="n">
        <v>542</v>
      </c>
      <c r="E4" s="4" t="n">
        <v>618</v>
      </c>
      <c r="F4" s="4" t="n">
        <f aca="false">SUM(B4:E4)</f>
        <v>2065</v>
      </c>
    </row>
    <row r="5" customFormat="false" ht="15" hidden="false" customHeight="false" outlineLevel="0" collapsed="false">
      <c r="A5" s="5" t="s">
        <v>8</v>
      </c>
      <c r="B5" s="6" t="n">
        <v>385</v>
      </c>
      <c r="C5" s="6" t="n">
        <v>402</v>
      </c>
      <c r="D5" s="6" t="n">
        <v>428</v>
      </c>
      <c r="E5" s="6" t="n">
        <v>461</v>
      </c>
      <c r="F5" s="6" t="n">
        <f aca="false">SUM(B5:E5)</f>
        <v>1676</v>
      </c>
    </row>
    <row r="6" customFormat="false" ht="15" hidden="false" customHeight="false" outlineLevel="0" collapsed="false">
      <c r="A6" s="3" t="s">
        <v>9</v>
      </c>
      <c r="B6" s="4" t="n">
        <v>1120</v>
      </c>
      <c r="C6" s="4" t="n">
        <v>985</v>
      </c>
      <c r="D6" s="4" t="n">
        <v>1042</v>
      </c>
      <c r="E6" s="4" t="n">
        <v>1385</v>
      </c>
      <c r="F6" s="4" t="n">
        <f aca="false">SUM(B6:E6)</f>
        <v>4532</v>
      </c>
    </row>
    <row r="7" customFormat="false" ht="15" hidden="false" customHeight="false" outlineLevel="0" collapsed="false">
      <c r="A7" s="5" t="s">
        <v>10</v>
      </c>
      <c r="B7" s="6" t="n">
        <v>4820</v>
      </c>
      <c r="C7" s="6" t="n">
        <v>4995</v>
      </c>
      <c r="D7" s="6" t="n">
        <v>5140</v>
      </c>
      <c r="E7" s="6" t="n">
        <v>5310</v>
      </c>
      <c r="F7" s="6" t="n">
        <f aca="false">SUM(B7:E7)</f>
        <v>20265</v>
      </c>
    </row>
    <row r="8" customFormat="false" ht="15" hidden="false" customHeight="false" outlineLevel="0" collapsed="false">
      <c r="A8" s="3" t="s">
        <v>11</v>
      </c>
      <c r="B8" s="4" t="n">
        <v>312</v>
      </c>
      <c r="C8" s="4" t="n">
        <v>328</v>
      </c>
      <c r="D8" s="4" t="n">
        <v>341</v>
      </c>
      <c r="E8" s="4" t="n">
        <v>358</v>
      </c>
      <c r="F8" s="4" t="n">
        <f aca="false">SUM(B8:E8)</f>
        <v>1339</v>
      </c>
    </row>
    <row r="9" customFormat="false" ht="15" hidden="false" customHeight="false" outlineLevel="0" collapsed="false">
      <c r="A9" s="5" t="s">
        <v>12</v>
      </c>
      <c r="B9" s="6" t="n">
        <v>645</v>
      </c>
      <c r="C9" s="6" t="n">
        <v>662</v>
      </c>
      <c r="D9" s="6" t="n">
        <v>679</v>
      </c>
      <c r="E9" s="6" t="n">
        <v>715</v>
      </c>
      <c r="F9" s="6" t="n">
        <f aca="false">SUM(B9:E9)</f>
        <v>2701</v>
      </c>
    </row>
    <row r="10" customFormat="false" ht="15" hidden="false" customHeight="false" outlineLevel="0" collapsed="false">
      <c r="A10" s="3" t="s">
        <v>13</v>
      </c>
      <c r="B10" s="4" t="n">
        <v>42</v>
      </c>
      <c r="C10" s="4" t="n">
        <v>48</v>
      </c>
      <c r="D10" s="4" t="n">
        <v>55</v>
      </c>
      <c r="E10" s="4" t="n">
        <v>68</v>
      </c>
      <c r="F10" s="4" t="n">
        <f aca="false">SUM(B10:E10)</f>
        <v>213</v>
      </c>
    </row>
    <row r="11" customFormat="false" ht="15" hidden="false" customHeight="false" outlineLevel="0" collapsed="false">
      <c r="A11" s="5" t="s">
        <v>14</v>
      </c>
      <c r="B11" s="6" t="n">
        <v>890</v>
      </c>
      <c r="C11" s="6" t="n">
        <v>942</v>
      </c>
      <c r="D11" s="6" t="n">
        <v>998</v>
      </c>
      <c r="E11" s="6" t="n">
        <v>1078</v>
      </c>
      <c r="F11" s="6" t="n">
        <f aca="false">SUM(B11:E11)</f>
        <v>3908</v>
      </c>
    </row>
    <row r="12" customFormat="false" ht="15" hidden="false" customHeight="false" outlineLevel="0" collapsed="false">
      <c r="A12" s="7" t="s">
        <v>15</v>
      </c>
      <c r="B12" s="8" t="n">
        <f aca="false">SUM(B4:B11)</f>
        <v>8634</v>
      </c>
      <c r="C12" s="8" t="n">
        <f aca="false">SUM(C4:C11)</f>
        <v>8847</v>
      </c>
      <c r="D12" s="8" t="n">
        <f aca="false">SUM(D4:D11)</f>
        <v>9225</v>
      </c>
      <c r="E12" s="8" t="n">
        <f aca="false">SUM(E4:E11)</f>
        <v>9993</v>
      </c>
      <c r="F12" s="8" t="n">
        <f aca="false">SUM(F4:F11)</f>
        <v>36699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2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16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17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18</v>
      </c>
    </row>
    <row r="4" customFormat="false" ht="15" hidden="false" customHeight="false" outlineLevel="0" collapsed="false">
      <c r="A4" s="3" t="s">
        <v>19</v>
      </c>
      <c r="B4" s="4" t="n">
        <v>42800</v>
      </c>
      <c r="C4" s="4" t="n">
        <v>43650</v>
      </c>
      <c r="D4" s="4" t="n">
        <v>44120</v>
      </c>
      <c r="E4" s="4" t="n">
        <v>45010</v>
      </c>
      <c r="F4" s="9" t="n">
        <f aca="false">(E4-B4)/B4</f>
        <v>0.0516355140186916</v>
      </c>
    </row>
    <row r="5" customFormat="false" ht="15" hidden="false" customHeight="false" outlineLevel="0" collapsed="false">
      <c r="A5" s="5" t="s">
        <v>20</v>
      </c>
      <c r="B5" s="6" t="n">
        <v>162500</v>
      </c>
      <c r="C5" s="6" t="n">
        <v>163200</v>
      </c>
      <c r="D5" s="6" t="n">
        <v>164400</v>
      </c>
      <c r="E5" s="6" t="n">
        <v>165800</v>
      </c>
      <c r="F5" s="10" t="n">
        <f aca="false">(E5-B5)/B5</f>
        <v>0.0203076923076923</v>
      </c>
    </row>
    <row r="6" customFormat="false" ht="15" hidden="false" customHeight="false" outlineLevel="0" collapsed="false">
      <c r="A6" s="3" t="s">
        <v>21</v>
      </c>
      <c r="B6" s="4" t="n">
        <v>22100</v>
      </c>
      <c r="C6" s="4" t="n">
        <v>22050</v>
      </c>
      <c r="D6" s="4" t="n">
        <v>22310</v>
      </c>
      <c r="E6" s="4" t="n">
        <v>22580</v>
      </c>
      <c r="F6" s="9" t="n">
        <f aca="false">(E6-B6)/B6</f>
        <v>0.0217194570135747</v>
      </c>
    </row>
    <row r="7" customFormat="false" ht="15" hidden="false" customHeight="false" outlineLevel="0" collapsed="false">
      <c r="A7" s="5" t="s">
        <v>22</v>
      </c>
      <c r="B7" s="6" t="n">
        <v>3450</v>
      </c>
      <c r="C7" s="6" t="n">
        <v>3520</v>
      </c>
      <c r="D7" s="6" t="n">
        <v>3610</v>
      </c>
      <c r="E7" s="6" t="n">
        <v>3720</v>
      </c>
      <c r="F7" s="10" t="n">
        <f aca="false">(E7-B7)/B7</f>
        <v>0.0782608695652174</v>
      </c>
    </row>
    <row r="8" customFormat="false" ht="15" hidden="false" customHeight="false" outlineLevel="0" collapsed="false">
      <c r="A8" s="3" t="s">
        <v>23</v>
      </c>
      <c r="B8" s="4" t="n">
        <v>1180</v>
      </c>
      <c r="C8" s="4" t="n">
        <v>1170</v>
      </c>
      <c r="D8" s="4" t="n">
        <v>1160</v>
      </c>
      <c r="E8" s="4" t="n">
        <v>1155</v>
      </c>
      <c r="F8" s="9" t="n">
        <f aca="false">(E8-B8)/B8</f>
        <v>-0.0211864406779661</v>
      </c>
    </row>
    <row r="9" customFormat="false" ht="15" hidden="false" customHeight="false" outlineLevel="0" collapsed="false">
      <c r="A9" s="5" t="s">
        <v>24</v>
      </c>
      <c r="B9" s="6" t="n">
        <v>18650</v>
      </c>
      <c r="C9" s="6" t="n">
        <v>18800</v>
      </c>
      <c r="D9" s="6" t="n">
        <v>18920</v>
      </c>
      <c r="E9" s="6" t="n">
        <v>19150</v>
      </c>
      <c r="F9" s="10" t="n">
        <f aca="false">(E9-B9)/B9</f>
        <v>0.0268096514745308</v>
      </c>
    </row>
    <row r="10" customFormat="false" ht="15" hidden="false" customHeight="false" outlineLevel="0" collapsed="false">
      <c r="A10" s="11" t="s">
        <v>25</v>
      </c>
      <c r="B10" s="12" t="n">
        <f aca="false">SUM(B4:B9)</f>
        <v>250680</v>
      </c>
      <c r="C10" s="12" t="n">
        <f aca="false">SUM(C4:C9)</f>
        <v>252390</v>
      </c>
      <c r="D10" s="12" t="n">
        <f aca="false">SUM(D4:D9)</f>
        <v>254520</v>
      </c>
      <c r="E10" s="12" t="n">
        <f aca="false">SUM(E4:E9)</f>
        <v>257415</v>
      </c>
      <c r="F10" s="13" t="n">
        <f aca="false">(E10-B10)/B10</f>
        <v>0.0268669219722355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26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27</v>
      </c>
    </row>
    <row r="4" customFormat="false" ht="15" hidden="false" customHeight="false" outlineLevel="0" collapsed="false">
      <c r="A4" s="3" t="s">
        <v>7</v>
      </c>
      <c r="B4" s="3" t="n">
        <v>42</v>
      </c>
      <c r="C4" s="3" t="n">
        <v>48</v>
      </c>
      <c r="D4" s="3" t="n">
        <v>51</v>
      </c>
      <c r="E4" s="3" t="n">
        <v>55</v>
      </c>
      <c r="F4" s="14" t="n">
        <f aca="false">AVERAGE(B4:E4)</f>
        <v>49</v>
      </c>
    </row>
    <row r="5" customFormat="false" ht="15" hidden="false" customHeight="false" outlineLevel="0" collapsed="false">
      <c r="A5" s="5" t="s">
        <v>8</v>
      </c>
      <c r="B5" s="5" t="n">
        <v>38</v>
      </c>
      <c r="C5" s="5" t="n">
        <v>41</v>
      </c>
      <c r="D5" s="5" t="n">
        <v>43</v>
      </c>
      <c r="E5" s="5" t="n">
        <v>44</v>
      </c>
      <c r="F5" s="15" t="n">
        <f aca="false">AVERAGE(B5:E5)</f>
        <v>41.5</v>
      </c>
    </row>
    <row r="6" customFormat="false" ht="15" hidden="false" customHeight="false" outlineLevel="0" collapsed="false">
      <c r="A6" s="3" t="s">
        <v>9</v>
      </c>
      <c r="B6" s="3" t="n">
        <v>62</v>
      </c>
      <c r="C6" s="3" t="n">
        <v>61</v>
      </c>
      <c r="D6" s="3" t="n">
        <v>63</v>
      </c>
      <c r="E6" s="3" t="n">
        <v>65</v>
      </c>
      <c r="F6" s="14" t="n">
        <f aca="false">AVERAGE(B6:E6)</f>
        <v>62.75</v>
      </c>
    </row>
    <row r="7" customFormat="false" ht="15" hidden="false" customHeight="false" outlineLevel="0" collapsed="false">
      <c r="A7" s="5" t="s">
        <v>10</v>
      </c>
      <c r="B7" s="5" t="n">
        <v>51</v>
      </c>
      <c r="C7" s="5" t="n">
        <v>53</v>
      </c>
      <c r="D7" s="5" t="n">
        <v>54</v>
      </c>
      <c r="E7" s="5" t="n">
        <v>56</v>
      </c>
      <c r="F7" s="15" t="n">
        <f aca="false">AVERAGE(B7:E7)</f>
        <v>53.5</v>
      </c>
    </row>
    <row r="8" customFormat="false" ht="15" hidden="false" customHeight="false" outlineLevel="0" collapsed="false">
      <c r="A8" s="3" t="s">
        <v>11</v>
      </c>
      <c r="B8" s="3" t="n">
        <v>45</v>
      </c>
      <c r="C8" s="3" t="n">
        <v>47</v>
      </c>
      <c r="D8" s="3" t="n">
        <v>46</v>
      </c>
      <c r="E8" s="3" t="n">
        <v>48</v>
      </c>
      <c r="F8" s="14" t="n">
        <f aca="false">AVERAGE(B8:E8)</f>
        <v>46.5</v>
      </c>
    </row>
    <row r="9" customFormat="false" ht="15" hidden="false" customHeight="false" outlineLevel="0" collapsed="false">
      <c r="A9" s="5" t="s">
        <v>12</v>
      </c>
      <c r="B9" s="5" t="n">
        <v>48</v>
      </c>
      <c r="C9" s="5" t="n">
        <v>49</v>
      </c>
      <c r="D9" s="5" t="n">
        <v>51</v>
      </c>
      <c r="E9" s="5" t="n">
        <v>52</v>
      </c>
      <c r="F9" s="15" t="n">
        <f aca="false">AVERAGE(B9:E9)</f>
        <v>50</v>
      </c>
    </row>
    <row r="10" customFormat="false" ht="15" hidden="false" customHeight="false" outlineLevel="0" collapsed="false">
      <c r="A10" s="3" t="s">
        <v>13</v>
      </c>
      <c r="B10" s="3" t="n">
        <v>58</v>
      </c>
      <c r="C10" s="3" t="n">
        <v>60</v>
      </c>
      <c r="D10" s="3" t="n">
        <v>62</v>
      </c>
      <c r="E10" s="3" t="n">
        <v>64</v>
      </c>
      <c r="F10" s="14" t="n">
        <f aca="false">AVERAGE(B10:E10)</f>
        <v>61</v>
      </c>
    </row>
    <row r="11" customFormat="false" ht="15" hidden="false" customHeight="false" outlineLevel="0" collapsed="false">
      <c r="A11" s="5" t="s">
        <v>14</v>
      </c>
      <c r="B11" s="5" t="n">
        <v>54</v>
      </c>
      <c r="C11" s="5" t="n">
        <v>56</v>
      </c>
      <c r="D11" s="5" t="n">
        <v>58</v>
      </c>
      <c r="E11" s="5" t="n">
        <v>59</v>
      </c>
      <c r="F11" s="15" t="n">
        <f aca="false">AVERAGE(B11:E11)</f>
        <v>56.75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</row>
    <row r="4" customFormat="false" ht="15" hidden="false" customHeight="false" outlineLevel="0" collapsed="false">
      <c r="A4" s="3" t="s">
        <v>37</v>
      </c>
      <c r="B4" s="16" t="n">
        <v>45701</v>
      </c>
      <c r="C4" s="3" t="s">
        <v>13</v>
      </c>
      <c r="D4" s="3" t="s">
        <v>38</v>
      </c>
      <c r="E4" s="3" t="s">
        <v>39</v>
      </c>
      <c r="F4" s="14" t="n">
        <v>10.9</v>
      </c>
      <c r="G4" s="3" t="n">
        <v>5</v>
      </c>
      <c r="H4" s="3" t="s">
        <v>40</v>
      </c>
    </row>
    <row r="5" customFormat="false" ht="15" hidden="false" customHeight="false" outlineLevel="0" collapsed="false">
      <c r="A5" s="5" t="s">
        <v>41</v>
      </c>
      <c r="B5" s="17" t="n">
        <v>45761</v>
      </c>
      <c r="C5" s="5" t="s">
        <v>13</v>
      </c>
      <c r="D5" s="5" t="s">
        <v>42</v>
      </c>
      <c r="E5" s="5" t="s">
        <v>43</v>
      </c>
      <c r="F5" s="15" t="n">
        <v>61</v>
      </c>
      <c r="G5" s="5" t="n">
        <v>5</v>
      </c>
      <c r="H5" s="5" t="s">
        <v>44</v>
      </c>
    </row>
    <row r="6" customFormat="false" ht="15" hidden="false" customHeight="false" outlineLevel="0" collapsed="false">
      <c r="A6" s="3" t="s">
        <v>45</v>
      </c>
      <c r="B6" s="16" t="n">
        <v>45800</v>
      </c>
      <c r="C6" s="3" t="s">
        <v>11</v>
      </c>
      <c r="D6" s="3" t="s">
        <v>42</v>
      </c>
      <c r="E6" s="3" t="s">
        <v>46</v>
      </c>
      <c r="F6" s="14" t="n">
        <v>35.6</v>
      </c>
      <c r="G6" s="3" t="n">
        <v>5</v>
      </c>
      <c r="H6" s="3" t="s">
        <v>40</v>
      </c>
    </row>
    <row r="7" customFormat="false" ht="15" hidden="false" customHeight="false" outlineLevel="0" collapsed="false">
      <c r="A7" s="5" t="s">
        <v>47</v>
      </c>
      <c r="B7" s="17" t="n">
        <v>45738</v>
      </c>
      <c r="C7" s="5" t="s">
        <v>8</v>
      </c>
      <c r="D7" s="5" t="s">
        <v>38</v>
      </c>
      <c r="E7" s="5" t="s">
        <v>48</v>
      </c>
      <c r="F7" s="15" t="n">
        <v>9</v>
      </c>
      <c r="G7" s="5" t="n">
        <v>4</v>
      </c>
      <c r="H7" s="5" t="s">
        <v>44</v>
      </c>
    </row>
    <row r="8" customFormat="false" ht="15" hidden="false" customHeight="false" outlineLevel="0" collapsed="false">
      <c r="A8" s="3" t="s">
        <v>49</v>
      </c>
      <c r="B8" s="16" t="n">
        <v>45662</v>
      </c>
      <c r="C8" s="3" t="s">
        <v>9</v>
      </c>
      <c r="D8" s="3" t="s">
        <v>50</v>
      </c>
      <c r="E8" s="3" t="s">
        <v>43</v>
      </c>
      <c r="F8" s="14" t="n">
        <v>2</v>
      </c>
      <c r="G8" s="3" t="n">
        <v>5</v>
      </c>
      <c r="H8" s="3" t="s">
        <v>51</v>
      </c>
    </row>
    <row r="9" customFormat="false" ht="15" hidden="false" customHeight="false" outlineLevel="0" collapsed="false">
      <c r="A9" s="5" t="s">
        <v>52</v>
      </c>
      <c r="B9" s="17" t="n">
        <v>45733</v>
      </c>
      <c r="C9" s="5" t="s">
        <v>7</v>
      </c>
      <c r="D9" s="5" t="s">
        <v>42</v>
      </c>
      <c r="E9" s="5" t="s">
        <v>46</v>
      </c>
      <c r="F9" s="15" t="n">
        <v>6.1</v>
      </c>
      <c r="G9" s="5" t="n">
        <v>3</v>
      </c>
      <c r="H9" s="5" t="s">
        <v>44</v>
      </c>
    </row>
    <row r="10" customFormat="false" ht="15" hidden="false" customHeight="false" outlineLevel="0" collapsed="false">
      <c r="A10" s="3" t="s">
        <v>53</v>
      </c>
      <c r="B10" s="16" t="n">
        <v>45659</v>
      </c>
      <c r="C10" s="3" t="s">
        <v>7</v>
      </c>
      <c r="D10" s="3" t="s">
        <v>50</v>
      </c>
      <c r="E10" s="3" t="s">
        <v>48</v>
      </c>
      <c r="F10" s="14" t="n">
        <v>2.4</v>
      </c>
      <c r="G10" s="3" t="n">
        <v>4</v>
      </c>
      <c r="H10" s="3" t="s">
        <v>51</v>
      </c>
    </row>
    <row r="11" customFormat="false" ht="15" hidden="false" customHeight="false" outlineLevel="0" collapsed="false">
      <c r="A11" s="5" t="s">
        <v>54</v>
      </c>
      <c r="B11" s="17" t="n">
        <v>45864</v>
      </c>
      <c r="C11" s="5" t="s">
        <v>14</v>
      </c>
      <c r="D11" s="5" t="s">
        <v>38</v>
      </c>
      <c r="E11" s="5" t="s">
        <v>39</v>
      </c>
      <c r="F11" s="15" t="n">
        <v>15.5</v>
      </c>
      <c r="G11" s="5" t="n">
        <v>1</v>
      </c>
      <c r="H11" s="5" t="s">
        <v>40</v>
      </c>
    </row>
    <row r="12" customFormat="false" ht="15" hidden="false" customHeight="false" outlineLevel="0" collapsed="false">
      <c r="A12" s="3" t="s">
        <v>55</v>
      </c>
      <c r="B12" s="16" t="n">
        <v>45950</v>
      </c>
      <c r="C12" s="3" t="s">
        <v>8</v>
      </c>
      <c r="D12" s="3" t="s">
        <v>38</v>
      </c>
      <c r="E12" s="3" t="s">
        <v>39</v>
      </c>
      <c r="F12" s="14" t="n">
        <v>10.9</v>
      </c>
      <c r="G12" s="3" t="n">
        <v>1</v>
      </c>
      <c r="H12" s="3" t="s">
        <v>40</v>
      </c>
    </row>
    <row r="13" customFormat="false" ht="15" hidden="false" customHeight="false" outlineLevel="0" collapsed="false">
      <c r="A13" s="5" t="s">
        <v>56</v>
      </c>
      <c r="B13" s="17" t="n">
        <v>45705</v>
      </c>
      <c r="C13" s="5" t="s">
        <v>13</v>
      </c>
      <c r="D13" s="5" t="s">
        <v>42</v>
      </c>
      <c r="E13" s="5" t="s">
        <v>43</v>
      </c>
      <c r="F13" s="15" t="n">
        <v>60.1</v>
      </c>
      <c r="G13" s="5" t="n">
        <v>3</v>
      </c>
      <c r="H13" s="5" t="s">
        <v>44</v>
      </c>
    </row>
    <row r="14" customFormat="false" ht="15" hidden="false" customHeight="false" outlineLevel="0" collapsed="false">
      <c r="A14" s="3" t="s">
        <v>57</v>
      </c>
      <c r="B14" s="16" t="n">
        <v>45761</v>
      </c>
      <c r="C14" s="3" t="s">
        <v>14</v>
      </c>
      <c r="D14" s="3" t="s">
        <v>42</v>
      </c>
      <c r="E14" s="3" t="s">
        <v>48</v>
      </c>
      <c r="F14" s="14" t="n">
        <v>54.8</v>
      </c>
      <c r="G14" s="3" t="n">
        <v>4</v>
      </c>
      <c r="H14" s="3" t="s">
        <v>44</v>
      </c>
    </row>
    <row r="15" customFormat="false" ht="15" hidden="false" customHeight="false" outlineLevel="0" collapsed="false">
      <c r="A15" s="5" t="s">
        <v>58</v>
      </c>
      <c r="B15" s="17" t="n">
        <v>45662</v>
      </c>
      <c r="C15" s="5" t="s">
        <v>12</v>
      </c>
      <c r="D15" s="5" t="s">
        <v>38</v>
      </c>
      <c r="E15" s="5" t="s">
        <v>39</v>
      </c>
      <c r="F15" s="15" t="n">
        <v>22.7</v>
      </c>
      <c r="G15" s="5" t="n">
        <v>5</v>
      </c>
      <c r="H15" s="5" t="s">
        <v>40</v>
      </c>
    </row>
    <row r="16" customFormat="false" ht="15" hidden="false" customHeight="false" outlineLevel="0" collapsed="false">
      <c r="A16" s="3" t="s">
        <v>59</v>
      </c>
      <c r="B16" s="16" t="n">
        <v>45875</v>
      </c>
      <c r="C16" s="3" t="s">
        <v>14</v>
      </c>
      <c r="D16" s="3" t="s">
        <v>60</v>
      </c>
      <c r="E16" s="3" t="s">
        <v>48</v>
      </c>
      <c r="F16" s="14" t="n">
        <v>67.8</v>
      </c>
      <c r="G16" s="3" t="n">
        <v>2</v>
      </c>
      <c r="H16" s="3" t="s">
        <v>40</v>
      </c>
    </row>
    <row r="17" customFormat="false" ht="15" hidden="false" customHeight="false" outlineLevel="0" collapsed="false">
      <c r="A17" s="5" t="s">
        <v>61</v>
      </c>
      <c r="B17" s="17" t="n">
        <v>45959</v>
      </c>
      <c r="C17" s="5" t="s">
        <v>11</v>
      </c>
      <c r="D17" s="5" t="s">
        <v>42</v>
      </c>
      <c r="E17" s="5" t="s">
        <v>43</v>
      </c>
      <c r="F17" s="15" t="n">
        <v>34.7</v>
      </c>
      <c r="G17" s="5" t="n">
        <v>5</v>
      </c>
      <c r="H17" s="5" t="s">
        <v>51</v>
      </c>
    </row>
    <row r="18" customFormat="false" ht="15" hidden="false" customHeight="false" outlineLevel="0" collapsed="false">
      <c r="A18" s="3" t="s">
        <v>62</v>
      </c>
      <c r="B18" s="16" t="n">
        <v>45783</v>
      </c>
      <c r="C18" s="3" t="s">
        <v>14</v>
      </c>
      <c r="D18" s="3" t="s">
        <v>50</v>
      </c>
      <c r="E18" s="3" t="s">
        <v>39</v>
      </c>
      <c r="F18" s="14" t="n">
        <v>4.4</v>
      </c>
      <c r="G18" s="3" t="n">
        <v>2</v>
      </c>
      <c r="H18" s="3" t="s">
        <v>44</v>
      </c>
    </row>
    <row r="19" customFormat="false" ht="15" hidden="false" customHeight="false" outlineLevel="0" collapsed="false">
      <c r="A19" s="5" t="s">
        <v>63</v>
      </c>
      <c r="B19" s="17" t="n">
        <v>45997</v>
      </c>
      <c r="C19" s="5" t="s">
        <v>12</v>
      </c>
      <c r="D19" s="5" t="s">
        <v>42</v>
      </c>
      <c r="E19" s="5" t="s">
        <v>46</v>
      </c>
      <c r="F19" s="15" t="n">
        <v>39.1</v>
      </c>
      <c r="G19" s="5" t="n">
        <v>5</v>
      </c>
      <c r="H19" s="5" t="s">
        <v>44</v>
      </c>
    </row>
    <row r="20" customFormat="false" ht="15" hidden="false" customHeight="false" outlineLevel="0" collapsed="false">
      <c r="A20" s="3" t="s">
        <v>64</v>
      </c>
      <c r="B20" s="16" t="n">
        <v>45734</v>
      </c>
      <c r="C20" s="3" t="s">
        <v>7</v>
      </c>
      <c r="D20" s="3" t="s">
        <v>38</v>
      </c>
      <c r="E20" s="3" t="s">
        <v>46</v>
      </c>
      <c r="F20" s="14" t="n">
        <v>19.7</v>
      </c>
      <c r="G20" s="3" t="n">
        <v>5</v>
      </c>
      <c r="H20" s="3" t="s">
        <v>44</v>
      </c>
    </row>
    <row r="21" customFormat="false" ht="15" hidden="false" customHeight="false" outlineLevel="0" collapsed="false">
      <c r="A21" s="5" t="s">
        <v>65</v>
      </c>
      <c r="B21" s="17" t="n">
        <v>45843</v>
      </c>
      <c r="C21" s="5" t="s">
        <v>10</v>
      </c>
      <c r="D21" s="5" t="s">
        <v>38</v>
      </c>
      <c r="E21" s="5" t="s">
        <v>43</v>
      </c>
      <c r="F21" s="15" t="n">
        <v>8.1</v>
      </c>
      <c r="G21" s="5" t="n">
        <v>4</v>
      </c>
      <c r="H21" s="5" t="s">
        <v>44</v>
      </c>
    </row>
    <row r="22" customFormat="false" ht="15" hidden="false" customHeight="false" outlineLevel="0" collapsed="false">
      <c r="A22" s="3" t="s">
        <v>66</v>
      </c>
      <c r="B22" s="16" t="n">
        <v>45822</v>
      </c>
      <c r="C22" s="3" t="s">
        <v>13</v>
      </c>
      <c r="D22" s="3" t="s">
        <v>60</v>
      </c>
      <c r="E22" s="3" t="s">
        <v>46</v>
      </c>
      <c r="F22" s="14" t="n">
        <v>76.6</v>
      </c>
      <c r="G22" s="3" t="n">
        <v>5</v>
      </c>
      <c r="H22" s="3" t="s">
        <v>44</v>
      </c>
    </row>
    <row r="23" customFormat="false" ht="15" hidden="false" customHeight="false" outlineLevel="0" collapsed="false">
      <c r="A23" s="5" t="s">
        <v>67</v>
      </c>
      <c r="B23" s="17" t="n">
        <v>45865</v>
      </c>
      <c r="C23" s="5" t="s">
        <v>13</v>
      </c>
      <c r="D23" s="5" t="s">
        <v>42</v>
      </c>
      <c r="E23" s="5" t="s">
        <v>39</v>
      </c>
      <c r="F23" s="15" t="n">
        <v>12.3</v>
      </c>
      <c r="G23" s="5" t="n">
        <v>4</v>
      </c>
      <c r="H23" s="5" t="s">
        <v>44</v>
      </c>
    </row>
    <row r="24" customFormat="false" ht="15" hidden="false" customHeight="false" outlineLevel="0" collapsed="false">
      <c r="A24" s="3" t="s">
        <v>68</v>
      </c>
      <c r="B24" s="16" t="n">
        <v>45987</v>
      </c>
      <c r="C24" s="3" t="s">
        <v>7</v>
      </c>
      <c r="D24" s="3" t="s">
        <v>60</v>
      </c>
      <c r="E24" s="3" t="s">
        <v>39</v>
      </c>
      <c r="F24" s="14" t="n">
        <v>169</v>
      </c>
      <c r="G24" s="3" t="n">
        <v>3</v>
      </c>
      <c r="H24" s="3" t="s">
        <v>44</v>
      </c>
    </row>
    <row r="25" customFormat="false" ht="15" hidden="false" customHeight="false" outlineLevel="0" collapsed="false">
      <c r="A25" s="5" t="s">
        <v>69</v>
      </c>
      <c r="B25" s="17" t="n">
        <v>45992</v>
      </c>
      <c r="C25" s="5" t="s">
        <v>10</v>
      </c>
      <c r="D25" s="5" t="s">
        <v>42</v>
      </c>
      <c r="E25" s="5" t="s">
        <v>46</v>
      </c>
      <c r="F25" s="15" t="n">
        <v>69.9</v>
      </c>
      <c r="G25" s="5" t="n">
        <v>3</v>
      </c>
      <c r="H25" s="5" t="s">
        <v>44</v>
      </c>
    </row>
    <row r="26" customFormat="false" ht="15" hidden="false" customHeight="false" outlineLevel="0" collapsed="false">
      <c r="A26" s="3" t="s">
        <v>70</v>
      </c>
      <c r="B26" s="16" t="n">
        <v>45730</v>
      </c>
      <c r="C26" s="3" t="s">
        <v>7</v>
      </c>
      <c r="D26" s="3" t="s">
        <v>42</v>
      </c>
      <c r="E26" s="3" t="s">
        <v>39</v>
      </c>
      <c r="F26" s="14" t="n">
        <v>38.8</v>
      </c>
      <c r="G26" s="3" t="n">
        <v>5</v>
      </c>
      <c r="H26" s="3" t="s">
        <v>44</v>
      </c>
    </row>
    <row r="27" customFormat="false" ht="15" hidden="false" customHeight="false" outlineLevel="0" collapsed="false">
      <c r="A27" s="5" t="s">
        <v>71</v>
      </c>
      <c r="B27" s="17" t="n">
        <v>45897</v>
      </c>
      <c r="C27" s="5" t="s">
        <v>10</v>
      </c>
      <c r="D27" s="5" t="s">
        <v>60</v>
      </c>
      <c r="E27" s="5" t="s">
        <v>46</v>
      </c>
      <c r="F27" s="15" t="n">
        <v>157.3</v>
      </c>
      <c r="G27" s="5" t="n">
        <v>3</v>
      </c>
      <c r="H27" s="5" t="s">
        <v>44</v>
      </c>
    </row>
    <row r="28" customFormat="false" ht="15" hidden="false" customHeight="false" outlineLevel="0" collapsed="false">
      <c r="A28" s="3" t="s">
        <v>72</v>
      </c>
      <c r="B28" s="16" t="n">
        <v>45739</v>
      </c>
      <c r="C28" s="3" t="s">
        <v>10</v>
      </c>
      <c r="D28" s="3" t="s">
        <v>38</v>
      </c>
      <c r="E28" s="3" t="s">
        <v>48</v>
      </c>
      <c r="F28" s="14" t="n">
        <v>2.4</v>
      </c>
      <c r="G28" s="3" t="n">
        <v>4</v>
      </c>
      <c r="H28" s="3" t="s">
        <v>44</v>
      </c>
    </row>
    <row r="29" customFormat="false" ht="15" hidden="false" customHeight="false" outlineLevel="0" collapsed="false">
      <c r="A29" s="5" t="s">
        <v>73</v>
      </c>
      <c r="B29" s="17" t="n">
        <v>45975</v>
      </c>
      <c r="C29" s="5" t="s">
        <v>8</v>
      </c>
      <c r="D29" s="5" t="s">
        <v>60</v>
      </c>
      <c r="E29" s="5" t="s">
        <v>43</v>
      </c>
      <c r="F29" s="15" t="n">
        <v>137.8</v>
      </c>
      <c r="G29" s="5" t="n">
        <v>4</v>
      </c>
      <c r="H29" s="5" t="s">
        <v>40</v>
      </c>
    </row>
    <row r="30" customFormat="false" ht="15" hidden="false" customHeight="false" outlineLevel="0" collapsed="false">
      <c r="A30" s="3" t="s">
        <v>74</v>
      </c>
      <c r="B30" s="16" t="n">
        <v>45717</v>
      </c>
      <c r="C30" s="3" t="s">
        <v>13</v>
      </c>
      <c r="D30" s="3" t="s">
        <v>60</v>
      </c>
      <c r="E30" s="3" t="s">
        <v>43</v>
      </c>
      <c r="F30" s="14" t="n">
        <v>191.3</v>
      </c>
      <c r="G30" s="3" t="n">
        <v>5</v>
      </c>
      <c r="H30" s="3" t="s">
        <v>44</v>
      </c>
    </row>
    <row r="31" customFormat="false" ht="15" hidden="false" customHeight="false" outlineLevel="0" collapsed="false">
      <c r="A31" s="5" t="s">
        <v>75</v>
      </c>
      <c r="B31" s="17" t="n">
        <v>45947</v>
      </c>
      <c r="C31" s="5" t="s">
        <v>7</v>
      </c>
      <c r="D31" s="5" t="s">
        <v>38</v>
      </c>
      <c r="E31" s="5" t="s">
        <v>48</v>
      </c>
      <c r="F31" s="15" t="n">
        <v>4.5</v>
      </c>
      <c r="G31" s="5" t="n">
        <v>2</v>
      </c>
      <c r="H31" s="5" t="s">
        <v>44</v>
      </c>
    </row>
    <row r="32" customFormat="false" ht="15" hidden="false" customHeight="false" outlineLevel="0" collapsed="false">
      <c r="A32" s="3" t="s">
        <v>76</v>
      </c>
      <c r="B32" s="16" t="n">
        <v>45966</v>
      </c>
      <c r="C32" s="3" t="s">
        <v>9</v>
      </c>
      <c r="D32" s="3" t="s">
        <v>38</v>
      </c>
      <c r="E32" s="3" t="s">
        <v>46</v>
      </c>
      <c r="F32" s="14" t="n">
        <v>11.4</v>
      </c>
      <c r="G32" s="3" t="n">
        <v>1</v>
      </c>
      <c r="H32" s="3" t="s">
        <v>44</v>
      </c>
    </row>
    <row r="33" customFormat="false" ht="15" hidden="false" customHeight="false" outlineLevel="0" collapsed="false">
      <c r="A33" s="5" t="s">
        <v>77</v>
      </c>
      <c r="B33" s="17" t="n">
        <v>45723</v>
      </c>
      <c r="C33" s="5" t="s">
        <v>10</v>
      </c>
      <c r="D33" s="5" t="s">
        <v>42</v>
      </c>
      <c r="E33" s="5" t="s">
        <v>48</v>
      </c>
      <c r="F33" s="15" t="n">
        <v>11.7</v>
      </c>
      <c r="G33" s="5" t="n">
        <v>2</v>
      </c>
      <c r="H33" s="5" t="s">
        <v>51</v>
      </c>
    </row>
    <row r="34" customFormat="false" ht="15" hidden="false" customHeight="false" outlineLevel="0" collapsed="false">
      <c r="A34" s="3" t="s">
        <v>78</v>
      </c>
      <c r="B34" s="16" t="n">
        <v>45747</v>
      </c>
      <c r="C34" s="3" t="s">
        <v>10</v>
      </c>
      <c r="D34" s="3" t="s">
        <v>60</v>
      </c>
      <c r="E34" s="3" t="s">
        <v>43</v>
      </c>
      <c r="F34" s="14" t="n">
        <v>141.5</v>
      </c>
      <c r="G34" s="3" t="n">
        <v>5</v>
      </c>
      <c r="H34" s="3" t="s">
        <v>51</v>
      </c>
    </row>
    <row r="35" customFormat="false" ht="15" hidden="false" customHeight="false" outlineLevel="0" collapsed="false">
      <c r="A35" s="5" t="s">
        <v>79</v>
      </c>
      <c r="B35" s="17" t="n">
        <v>45876</v>
      </c>
      <c r="C35" s="5" t="s">
        <v>8</v>
      </c>
      <c r="D35" s="5" t="s">
        <v>42</v>
      </c>
      <c r="E35" s="5" t="s">
        <v>43</v>
      </c>
      <c r="F35" s="15" t="n">
        <v>7.9</v>
      </c>
      <c r="G35" s="5" t="n">
        <v>5</v>
      </c>
      <c r="H35" s="5" t="s">
        <v>40</v>
      </c>
    </row>
    <row r="36" customFormat="false" ht="15" hidden="false" customHeight="false" outlineLevel="0" collapsed="false">
      <c r="A36" s="3" t="s">
        <v>80</v>
      </c>
      <c r="B36" s="16" t="n">
        <v>45849</v>
      </c>
      <c r="C36" s="3" t="s">
        <v>7</v>
      </c>
      <c r="D36" s="3" t="s">
        <v>42</v>
      </c>
      <c r="E36" s="3" t="s">
        <v>48</v>
      </c>
      <c r="F36" s="14" t="n">
        <v>34.7</v>
      </c>
      <c r="G36" s="3" t="n">
        <v>4</v>
      </c>
      <c r="H36" s="3" t="s">
        <v>51</v>
      </c>
    </row>
    <row r="37" customFormat="false" ht="15" hidden="false" customHeight="false" outlineLevel="0" collapsed="false">
      <c r="A37" s="5" t="s">
        <v>81</v>
      </c>
      <c r="B37" s="17" t="n">
        <v>45790</v>
      </c>
      <c r="C37" s="5" t="s">
        <v>11</v>
      </c>
      <c r="D37" s="5" t="s">
        <v>42</v>
      </c>
      <c r="E37" s="5" t="s">
        <v>39</v>
      </c>
      <c r="F37" s="15" t="n">
        <v>70.1</v>
      </c>
      <c r="G37" s="5" t="n">
        <v>4</v>
      </c>
      <c r="H37" s="5" t="s">
        <v>44</v>
      </c>
    </row>
    <row r="38" customFormat="false" ht="15" hidden="false" customHeight="false" outlineLevel="0" collapsed="false">
      <c r="A38" s="3" t="s">
        <v>82</v>
      </c>
      <c r="B38" s="16" t="n">
        <v>45731</v>
      </c>
      <c r="C38" s="3" t="s">
        <v>14</v>
      </c>
      <c r="D38" s="3" t="s">
        <v>42</v>
      </c>
      <c r="E38" s="3" t="s">
        <v>43</v>
      </c>
      <c r="F38" s="14" t="n">
        <v>62.2</v>
      </c>
      <c r="G38" s="3" t="n">
        <v>4</v>
      </c>
      <c r="H38" s="3" t="s">
        <v>44</v>
      </c>
    </row>
    <row r="39" customFormat="false" ht="15" hidden="false" customHeight="false" outlineLevel="0" collapsed="false">
      <c r="A39" s="5" t="s">
        <v>83</v>
      </c>
      <c r="B39" s="17" t="n">
        <v>45712</v>
      </c>
      <c r="C39" s="5" t="s">
        <v>8</v>
      </c>
      <c r="D39" s="5" t="s">
        <v>38</v>
      </c>
      <c r="E39" s="5" t="s">
        <v>39</v>
      </c>
      <c r="F39" s="15" t="n">
        <v>10.1</v>
      </c>
      <c r="G39" s="5" t="n">
        <v>5</v>
      </c>
      <c r="H39" s="5" t="s">
        <v>51</v>
      </c>
    </row>
    <row r="40" customFormat="false" ht="15" hidden="false" customHeight="false" outlineLevel="0" collapsed="false">
      <c r="A40" s="3" t="s">
        <v>84</v>
      </c>
      <c r="B40" s="16" t="n">
        <v>45762</v>
      </c>
      <c r="C40" s="3" t="s">
        <v>11</v>
      </c>
      <c r="D40" s="3" t="s">
        <v>42</v>
      </c>
      <c r="E40" s="3" t="s">
        <v>43</v>
      </c>
      <c r="F40" s="14" t="n">
        <v>23.1</v>
      </c>
      <c r="G40" s="3" t="n">
        <v>4</v>
      </c>
      <c r="H40" s="3" t="s">
        <v>44</v>
      </c>
    </row>
    <row r="41" customFormat="false" ht="15" hidden="false" customHeight="false" outlineLevel="0" collapsed="false">
      <c r="A41" s="5" t="s">
        <v>85</v>
      </c>
      <c r="B41" s="17" t="n">
        <v>45700</v>
      </c>
      <c r="C41" s="5" t="s">
        <v>14</v>
      </c>
      <c r="D41" s="5" t="s">
        <v>60</v>
      </c>
      <c r="E41" s="5" t="s">
        <v>43</v>
      </c>
      <c r="F41" s="15" t="n">
        <v>49.2</v>
      </c>
      <c r="G41" s="5" t="n">
        <v>4</v>
      </c>
      <c r="H41" s="5" t="s">
        <v>44</v>
      </c>
    </row>
    <row r="42" customFormat="false" ht="15" hidden="false" customHeight="false" outlineLevel="0" collapsed="false">
      <c r="A42" s="3" t="s">
        <v>86</v>
      </c>
      <c r="B42" s="16" t="n">
        <v>46005</v>
      </c>
      <c r="C42" s="3" t="s">
        <v>9</v>
      </c>
      <c r="D42" s="3" t="s">
        <v>60</v>
      </c>
      <c r="E42" s="3" t="s">
        <v>43</v>
      </c>
      <c r="F42" s="14" t="n">
        <v>101.9</v>
      </c>
      <c r="G42" s="3" t="n">
        <v>5</v>
      </c>
      <c r="H42" s="3" t="s">
        <v>40</v>
      </c>
    </row>
    <row r="43" customFormat="false" ht="15" hidden="false" customHeight="false" outlineLevel="0" collapsed="false">
      <c r="A43" s="5" t="s">
        <v>87</v>
      </c>
      <c r="B43" s="17" t="n">
        <v>45858</v>
      </c>
      <c r="C43" s="5" t="s">
        <v>13</v>
      </c>
      <c r="D43" s="5" t="s">
        <v>42</v>
      </c>
      <c r="E43" s="5" t="s">
        <v>48</v>
      </c>
      <c r="F43" s="15" t="n">
        <v>67.7</v>
      </c>
      <c r="G43" s="5" t="n">
        <v>5</v>
      </c>
      <c r="H43" s="5" t="s">
        <v>44</v>
      </c>
    </row>
    <row r="44" customFormat="false" ht="15" hidden="false" customHeight="false" outlineLevel="0" collapsed="false">
      <c r="A44" s="3" t="s">
        <v>88</v>
      </c>
      <c r="B44" s="16" t="n">
        <v>45736</v>
      </c>
      <c r="C44" s="3" t="s">
        <v>9</v>
      </c>
      <c r="D44" s="3" t="s">
        <v>38</v>
      </c>
      <c r="E44" s="3" t="s">
        <v>39</v>
      </c>
      <c r="F44" s="14" t="n">
        <v>23</v>
      </c>
      <c r="G44" s="3" t="n">
        <v>4</v>
      </c>
      <c r="H44" s="3" t="s">
        <v>44</v>
      </c>
    </row>
    <row r="45" customFormat="false" ht="15" hidden="false" customHeight="false" outlineLevel="0" collapsed="false">
      <c r="A45" s="5" t="s">
        <v>89</v>
      </c>
      <c r="B45" s="17" t="n">
        <v>45867</v>
      </c>
      <c r="C45" s="5" t="s">
        <v>14</v>
      </c>
      <c r="D45" s="5" t="s">
        <v>42</v>
      </c>
      <c r="E45" s="5" t="s">
        <v>46</v>
      </c>
      <c r="F45" s="15" t="n">
        <v>58.1</v>
      </c>
      <c r="G45" s="5" t="n">
        <v>4</v>
      </c>
      <c r="H45" s="5" t="s">
        <v>44</v>
      </c>
    </row>
    <row r="46" customFormat="false" ht="15" hidden="false" customHeight="false" outlineLevel="0" collapsed="false">
      <c r="A46" s="3" t="s">
        <v>90</v>
      </c>
      <c r="B46" s="16" t="n">
        <v>45699</v>
      </c>
      <c r="C46" s="3" t="s">
        <v>9</v>
      </c>
      <c r="D46" s="3" t="s">
        <v>42</v>
      </c>
      <c r="E46" s="3" t="s">
        <v>43</v>
      </c>
      <c r="F46" s="14" t="n">
        <v>29.9</v>
      </c>
      <c r="G46" s="3" t="n">
        <v>2</v>
      </c>
      <c r="H46" s="3" t="s">
        <v>44</v>
      </c>
    </row>
    <row r="47" customFormat="false" ht="15" hidden="false" customHeight="false" outlineLevel="0" collapsed="false">
      <c r="A47" s="5" t="s">
        <v>91</v>
      </c>
      <c r="B47" s="17" t="n">
        <v>45919</v>
      </c>
      <c r="C47" s="5" t="s">
        <v>11</v>
      </c>
      <c r="D47" s="5" t="s">
        <v>42</v>
      </c>
      <c r="E47" s="5" t="s">
        <v>48</v>
      </c>
      <c r="F47" s="15" t="n">
        <v>71.6</v>
      </c>
      <c r="G47" s="5" t="n">
        <v>5</v>
      </c>
      <c r="H47" s="5" t="s">
        <v>44</v>
      </c>
    </row>
    <row r="48" customFormat="false" ht="15" hidden="false" customHeight="false" outlineLevel="0" collapsed="false">
      <c r="A48" s="3" t="s">
        <v>92</v>
      </c>
      <c r="B48" s="16" t="n">
        <v>45778</v>
      </c>
      <c r="C48" s="3" t="s">
        <v>12</v>
      </c>
      <c r="D48" s="3" t="s">
        <v>60</v>
      </c>
      <c r="E48" s="3" t="s">
        <v>43</v>
      </c>
      <c r="F48" s="14" t="n">
        <v>82.1</v>
      </c>
      <c r="G48" s="3" t="n">
        <v>4</v>
      </c>
      <c r="H48" s="3" t="s">
        <v>44</v>
      </c>
    </row>
    <row r="49" customFormat="false" ht="15" hidden="false" customHeight="false" outlineLevel="0" collapsed="false">
      <c r="A49" s="5" t="s">
        <v>93</v>
      </c>
      <c r="B49" s="17" t="n">
        <v>45851</v>
      </c>
      <c r="C49" s="5" t="s">
        <v>9</v>
      </c>
      <c r="D49" s="5" t="s">
        <v>60</v>
      </c>
      <c r="E49" s="5" t="s">
        <v>43</v>
      </c>
      <c r="F49" s="15" t="n">
        <v>31.8</v>
      </c>
      <c r="G49" s="5" t="n">
        <v>5</v>
      </c>
      <c r="H49" s="5" t="s">
        <v>44</v>
      </c>
    </row>
    <row r="50" customFormat="false" ht="15" hidden="false" customHeight="false" outlineLevel="0" collapsed="false">
      <c r="A50" s="3" t="s">
        <v>94</v>
      </c>
      <c r="B50" s="16" t="n">
        <v>45787</v>
      </c>
      <c r="C50" s="3" t="s">
        <v>12</v>
      </c>
      <c r="D50" s="3" t="s">
        <v>38</v>
      </c>
      <c r="E50" s="3" t="s">
        <v>46</v>
      </c>
      <c r="F50" s="14" t="n">
        <v>14.6</v>
      </c>
      <c r="G50" s="3" t="n">
        <v>3</v>
      </c>
      <c r="H50" s="3" t="s">
        <v>44</v>
      </c>
    </row>
    <row r="51" customFormat="false" ht="15" hidden="false" customHeight="false" outlineLevel="0" collapsed="false">
      <c r="A51" s="5" t="s">
        <v>95</v>
      </c>
      <c r="B51" s="17" t="n">
        <v>45995</v>
      </c>
      <c r="C51" s="5" t="s">
        <v>11</v>
      </c>
      <c r="D51" s="5" t="s">
        <v>60</v>
      </c>
      <c r="E51" s="5" t="s">
        <v>39</v>
      </c>
      <c r="F51" s="15" t="n">
        <v>186.7</v>
      </c>
      <c r="G51" s="5" t="n">
        <v>3</v>
      </c>
      <c r="H51" s="5" t="s">
        <v>51</v>
      </c>
    </row>
    <row r="52" customFormat="false" ht="15" hidden="false" customHeight="false" outlineLevel="0" collapsed="false">
      <c r="A52" s="3" t="s">
        <v>96</v>
      </c>
      <c r="B52" s="16" t="n">
        <v>45971</v>
      </c>
      <c r="C52" s="3" t="s">
        <v>14</v>
      </c>
      <c r="D52" s="3" t="s">
        <v>60</v>
      </c>
      <c r="E52" s="3" t="s">
        <v>39</v>
      </c>
      <c r="F52" s="14" t="n">
        <v>133.1</v>
      </c>
      <c r="G52" s="3" t="n">
        <v>4</v>
      </c>
      <c r="H52" s="3" t="s">
        <v>44</v>
      </c>
    </row>
    <row r="53" customFormat="false" ht="15" hidden="false" customHeight="false" outlineLevel="0" collapsed="false">
      <c r="A53" s="5" t="s">
        <v>97</v>
      </c>
      <c r="B53" s="17" t="n">
        <v>46000</v>
      </c>
      <c r="C53" s="5" t="s">
        <v>13</v>
      </c>
      <c r="D53" s="5" t="s">
        <v>38</v>
      </c>
      <c r="E53" s="5" t="s">
        <v>43</v>
      </c>
      <c r="F53" s="15" t="n">
        <v>9.4</v>
      </c>
      <c r="G53" s="5" t="n">
        <v>4</v>
      </c>
      <c r="H53" s="5" t="s">
        <v>44</v>
      </c>
    </row>
    <row r="54" customFormat="false" ht="15" hidden="false" customHeight="false" outlineLevel="0" collapsed="false">
      <c r="A54" s="3" t="s">
        <v>98</v>
      </c>
      <c r="B54" s="16" t="n">
        <v>45914</v>
      </c>
      <c r="C54" s="3" t="s">
        <v>9</v>
      </c>
      <c r="D54" s="3" t="s">
        <v>42</v>
      </c>
      <c r="E54" s="3" t="s">
        <v>46</v>
      </c>
      <c r="F54" s="14" t="n">
        <v>44.7</v>
      </c>
      <c r="G54" s="3" t="n">
        <v>4</v>
      </c>
      <c r="H54" s="3" t="s">
        <v>44</v>
      </c>
    </row>
    <row r="55" customFormat="false" ht="15" hidden="false" customHeight="false" outlineLevel="0" collapsed="false">
      <c r="A55" s="5" t="s">
        <v>99</v>
      </c>
      <c r="B55" s="17" t="n">
        <v>45865</v>
      </c>
      <c r="C55" s="5" t="s">
        <v>13</v>
      </c>
      <c r="D55" s="5" t="s">
        <v>38</v>
      </c>
      <c r="E55" s="5" t="s">
        <v>39</v>
      </c>
      <c r="F55" s="15" t="n">
        <v>9.6</v>
      </c>
      <c r="G55" s="5" t="n">
        <v>2</v>
      </c>
      <c r="H55" s="5" t="s">
        <v>44</v>
      </c>
    </row>
    <row r="56" customFormat="false" ht="15" hidden="false" customHeight="false" outlineLevel="0" collapsed="false">
      <c r="A56" s="3" t="s">
        <v>100</v>
      </c>
      <c r="B56" s="16" t="n">
        <v>45680</v>
      </c>
      <c r="C56" s="3" t="s">
        <v>9</v>
      </c>
      <c r="D56" s="3" t="s">
        <v>50</v>
      </c>
      <c r="E56" s="3" t="s">
        <v>46</v>
      </c>
      <c r="F56" s="14" t="n">
        <v>2.8</v>
      </c>
      <c r="G56" s="3" t="n">
        <v>5</v>
      </c>
      <c r="H56" s="3" t="s">
        <v>44</v>
      </c>
    </row>
    <row r="57" customFormat="false" ht="15" hidden="false" customHeight="false" outlineLevel="0" collapsed="false">
      <c r="A57" s="5" t="s">
        <v>101</v>
      </c>
      <c r="B57" s="17" t="n">
        <v>45700</v>
      </c>
      <c r="C57" s="5" t="s">
        <v>9</v>
      </c>
      <c r="D57" s="5" t="s">
        <v>38</v>
      </c>
      <c r="E57" s="5" t="s">
        <v>39</v>
      </c>
      <c r="F57" s="15" t="n">
        <v>4.6</v>
      </c>
      <c r="G57" s="5" t="n">
        <v>4</v>
      </c>
      <c r="H57" s="5" t="s">
        <v>44</v>
      </c>
    </row>
    <row r="58" customFormat="false" ht="15" hidden="false" customHeight="false" outlineLevel="0" collapsed="false">
      <c r="A58" s="3" t="s">
        <v>102</v>
      </c>
      <c r="B58" s="16" t="n">
        <v>45970</v>
      </c>
      <c r="C58" s="3" t="s">
        <v>13</v>
      </c>
      <c r="D58" s="3" t="s">
        <v>50</v>
      </c>
      <c r="E58" s="3" t="s">
        <v>43</v>
      </c>
      <c r="F58" s="14" t="n">
        <v>4.2</v>
      </c>
      <c r="G58" s="3" t="n">
        <v>3</v>
      </c>
      <c r="H58" s="3" t="s">
        <v>51</v>
      </c>
    </row>
    <row r="59" customFormat="false" ht="15" hidden="false" customHeight="false" outlineLevel="0" collapsed="false">
      <c r="A59" s="5" t="s">
        <v>103</v>
      </c>
      <c r="B59" s="17" t="n">
        <v>45986</v>
      </c>
      <c r="C59" s="5" t="s">
        <v>13</v>
      </c>
      <c r="D59" s="5" t="s">
        <v>50</v>
      </c>
      <c r="E59" s="5" t="s">
        <v>39</v>
      </c>
      <c r="F59" s="15" t="n">
        <v>2</v>
      </c>
      <c r="G59" s="5" t="n">
        <v>2</v>
      </c>
      <c r="H59" s="5" t="s">
        <v>51</v>
      </c>
    </row>
    <row r="60" customFormat="false" ht="15" hidden="false" customHeight="false" outlineLevel="0" collapsed="false">
      <c r="A60" s="3" t="s">
        <v>104</v>
      </c>
      <c r="B60" s="16" t="n">
        <v>45761</v>
      </c>
      <c r="C60" s="3" t="s">
        <v>8</v>
      </c>
      <c r="D60" s="3" t="s">
        <v>42</v>
      </c>
      <c r="E60" s="3" t="s">
        <v>39</v>
      </c>
      <c r="F60" s="14" t="n">
        <v>11.3</v>
      </c>
      <c r="G60" s="3" t="n">
        <v>5</v>
      </c>
      <c r="H60" s="3" t="s">
        <v>44</v>
      </c>
    </row>
    <row r="61" customFormat="false" ht="15" hidden="false" customHeight="false" outlineLevel="0" collapsed="false">
      <c r="A61" s="5" t="s">
        <v>105</v>
      </c>
      <c r="B61" s="17" t="n">
        <v>45664</v>
      </c>
      <c r="C61" s="5" t="s">
        <v>10</v>
      </c>
      <c r="D61" s="5" t="s">
        <v>38</v>
      </c>
      <c r="E61" s="5" t="s">
        <v>48</v>
      </c>
      <c r="F61" s="15" t="n">
        <v>19.9</v>
      </c>
      <c r="G61" s="5" t="n">
        <v>3</v>
      </c>
      <c r="H61" s="5" t="s">
        <v>51</v>
      </c>
    </row>
    <row r="62" customFormat="false" ht="15" hidden="false" customHeight="false" outlineLevel="0" collapsed="false">
      <c r="A62" s="3" t="s">
        <v>106</v>
      </c>
      <c r="B62" s="16" t="n">
        <v>45912</v>
      </c>
      <c r="C62" s="3" t="s">
        <v>8</v>
      </c>
      <c r="D62" s="3" t="s">
        <v>42</v>
      </c>
      <c r="E62" s="3" t="s">
        <v>48</v>
      </c>
      <c r="F62" s="14" t="n">
        <v>56.3</v>
      </c>
      <c r="G62" s="3" t="n">
        <v>4</v>
      </c>
      <c r="H62" s="3" t="s">
        <v>44</v>
      </c>
    </row>
    <row r="63" customFormat="false" ht="15" hidden="false" customHeight="false" outlineLevel="0" collapsed="false">
      <c r="A63" s="5" t="s">
        <v>107</v>
      </c>
      <c r="B63" s="17" t="n">
        <v>45711</v>
      </c>
      <c r="C63" s="5" t="s">
        <v>13</v>
      </c>
      <c r="D63" s="5" t="s">
        <v>60</v>
      </c>
      <c r="E63" s="5" t="s">
        <v>43</v>
      </c>
      <c r="F63" s="15" t="n">
        <v>185.4</v>
      </c>
      <c r="G63" s="5" t="n">
        <v>5</v>
      </c>
      <c r="H63" s="5" t="s">
        <v>51</v>
      </c>
    </row>
    <row r="64" customFormat="false" ht="15" hidden="false" customHeight="false" outlineLevel="0" collapsed="false">
      <c r="A64" s="3" t="s">
        <v>108</v>
      </c>
      <c r="B64" s="16" t="n">
        <v>45973</v>
      </c>
      <c r="C64" s="3" t="s">
        <v>7</v>
      </c>
      <c r="D64" s="3" t="s">
        <v>42</v>
      </c>
      <c r="E64" s="3" t="s">
        <v>46</v>
      </c>
      <c r="F64" s="14" t="n">
        <v>12.5</v>
      </c>
      <c r="G64" s="3" t="n">
        <v>4</v>
      </c>
      <c r="H64" s="3" t="s">
        <v>51</v>
      </c>
    </row>
    <row r="65" customFormat="false" ht="15" hidden="false" customHeight="false" outlineLevel="0" collapsed="false">
      <c r="A65" s="5" t="s">
        <v>109</v>
      </c>
      <c r="B65" s="17" t="n">
        <v>45896</v>
      </c>
      <c r="C65" s="5" t="s">
        <v>12</v>
      </c>
      <c r="D65" s="5" t="s">
        <v>60</v>
      </c>
      <c r="E65" s="5" t="s">
        <v>39</v>
      </c>
      <c r="F65" s="15" t="n">
        <v>155.3</v>
      </c>
      <c r="G65" s="5" t="n">
        <v>2</v>
      </c>
      <c r="H65" s="5" t="s">
        <v>44</v>
      </c>
    </row>
    <row r="66" customFormat="false" ht="15" hidden="false" customHeight="false" outlineLevel="0" collapsed="false">
      <c r="A66" s="3" t="s">
        <v>110</v>
      </c>
      <c r="B66" s="16" t="n">
        <v>45832</v>
      </c>
      <c r="C66" s="3" t="s">
        <v>10</v>
      </c>
      <c r="D66" s="3" t="s">
        <v>38</v>
      </c>
      <c r="E66" s="3" t="s">
        <v>43</v>
      </c>
      <c r="F66" s="14" t="n">
        <v>17.5</v>
      </c>
      <c r="G66" s="3" t="n">
        <v>1</v>
      </c>
      <c r="H66" s="3" t="s">
        <v>44</v>
      </c>
    </row>
    <row r="67" customFormat="false" ht="15" hidden="false" customHeight="false" outlineLevel="0" collapsed="false">
      <c r="A67" s="5" t="s">
        <v>111</v>
      </c>
      <c r="B67" s="17" t="n">
        <v>45943</v>
      </c>
      <c r="C67" s="5" t="s">
        <v>14</v>
      </c>
      <c r="D67" s="5" t="s">
        <v>42</v>
      </c>
      <c r="E67" s="5" t="s">
        <v>39</v>
      </c>
      <c r="F67" s="15" t="n">
        <v>37.1</v>
      </c>
      <c r="G67" s="5" t="n">
        <v>5</v>
      </c>
      <c r="H67" s="5" t="s">
        <v>40</v>
      </c>
    </row>
    <row r="68" customFormat="false" ht="15" hidden="false" customHeight="false" outlineLevel="0" collapsed="false">
      <c r="A68" s="3" t="s">
        <v>112</v>
      </c>
      <c r="B68" s="16" t="n">
        <v>45686</v>
      </c>
      <c r="C68" s="3" t="s">
        <v>10</v>
      </c>
      <c r="D68" s="3" t="s">
        <v>42</v>
      </c>
      <c r="E68" s="3" t="s">
        <v>48</v>
      </c>
      <c r="F68" s="14" t="n">
        <v>13</v>
      </c>
      <c r="G68" s="3" t="n">
        <v>1</v>
      </c>
      <c r="H68" s="3" t="s">
        <v>51</v>
      </c>
    </row>
    <row r="69" customFormat="false" ht="15" hidden="false" customHeight="false" outlineLevel="0" collapsed="false">
      <c r="A69" s="5" t="s">
        <v>113</v>
      </c>
      <c r="B69" s="17" t="n">
        <v>45920</v>
      </c>
      <c r="C69" s="5" t="s">
        <v>8</v>
      </c>
      <c r="D69" s="5" t="s">
        <v>60</v>
      </c>
      <c r="E69" s="5" t="s">
        <v>48</v>
      </c>
      <c r="F69" s="15" t="n">
        <v>234.5</v>
      </c>
      <c r="G69" s="5" t="n">
        <v>3</v>
      </c>
      <c r="H69" s="5" t="s">
        <v>44</v>
      </c>
    </row>
    <row r="70" customFormat="false" ht="15" hidden="false" customHeight="false" outlineLevel="0" collapsed="false">
      <c r="A70" s="3" t="s">
        <v>114</v>
      </c>
      <c r="B70" s="16" t="n">
        <v>46004</v>
      </c>
      <c r="C70" s="3" t="s">
        <v>13</v>
      </c>
      <c r="D70" s="3" t="s">
        <v>38</v>
      </c>
      <c r="E70" s="3" t="s">
        <v>48</v>
      </c>
      <c r="F70" s="14" t="n">
        <v>19</v>
      </c>
      <c r="G70" s="3" t="n">
        <v>4</v>
      </c>
      <c r="H70" s="3" t="s">
        <v>44</v>
      </c>
    </row>
    <row r="71" customFormat="false" ht="15" hidden="false" customHeight="false" outlineLevel="0" collapsed="false">
      <c r="A71" s="5" t="s">
        <v>115</v>
      </c>
      <c r="B71" s="17" t="n">
        <v>45831</v>
      </c>
      <c r="C71" s="5" t="s">
        <v>10</v>
      </c>
      <c r="D71" s="5" t="s">
        <v>50</v>
      </c>
      <c r="E71" s="5" t="s">
        <v>48</v>
      </c>
      <c r="F71" s="15" t="n">
        <v>4.7</v>
      </c>
      <c r="G71" s="5" t="n">
        <v>3</v>
      </c>
      <c r="H71" s="5" t="s">
        <v>44</v>
      </c>
    </row>
    <row r="72" customFormat="false" ht="15" hidden="false" customHeight="false" outlineLevel="0" collapsed="false">
      <c r="A72" s="3" t="s">
        <v>116</v>
      </c>
      <c r="B72" s="16" t="n">
        <v>45751</v>
      </c>
      <c r="C72" s="3" t="s">
        <v>11</v>
      </c>
      <c r="D72" s="3" t="s">
        <v>42</v>
      </c>
      <c r="E72" s="3" t="s">
        <v>46</v>
      </c>
      <c r="F72" s="14" t="n">
        <v>57.8</v>
      </c>
      <c r="G72" s="3" t="n">
        <v>4</v>
      </c>
      <c r="H72" s="3" t="s">
        <v>40</v>
      </c>
    </row>
    <row r="73" customFormat="false" ht="15" hidden="false" customHeight="false" outlineLevel="0" collapsed="false">
      <c r="A73" s="5" t="s">
        <v>117</v>
      </c>
      <c r="B73" s="17" t="n">
        <v>45674</v>
      </c>
      <c r="C73" s="5" t="s">
        <v>7</v>
      </c>
      <c r="D73" s="5" t="s">
        <v>38</v>
      </c>
      <c r="E73" s="5" t="s">
        <v>46</v>
      </c>
      <c r="F73" s="15" t="n">
        <v>16.7</v>
      </c>
      <c r="G73" s="5" t="n">
        <v>4</v>
      </c>
      <c r="H73" s="5" t="s">
        <v>44</v>
      </c>
    </row>
    <row r="74" customFormat="false" ht="15" hidden="false" customHeight="false" outlineLevel="0" collapsed="false">
      <c r="A74" s="3" t="s">
        <v>118</v>
      </c>
      <c r="B74" s="16" t="n">
        <v>45767</v>
      </c>
      <c r="C74" s="3" t="s">
        <v>13</v>
      </c>
      <c r="D74" s="3" t="s">
        <v>60</v>
      </c>
      <c r="E74" s="3" t="s">
        <v>43</v>
      </c>
      <c r="F74" s="14" t="n">
        <v>233.2</v>
      </c>
      <c r="G74" s="3" t="n">
        <v>3</v>
      </c>
      <c r="H74" s="3" t="s">
        <v>40</v>
      </c>
    </row>
    <row r="75" customFormat="false" ht="15" hidden="false" customHeight="false" outlineLevel="0" collapsed="false">
      <c r="A75" s="5" t="s">
        <v>119</v>
      </c>
      <c r="B75" s="17" t="n">
        <v>45677</v>
      </c>
      <c r="C75" s="5" t="s">
        <v>13</v>
      </c>
      <c r="D75" s="5" t="s">
        <v>42</v>
      </c>
      <c r="E75" s="5" t="s">
        <v>48</v>
      </c>
      <c r="F75" s="15" t="n">
        <v>42.4</v>
      </c>
      <c r="G75" s="5" t="n">
        <v>5</v>
      </c>
      <c r="H75" s="5" t="s">
        <v>44</v>
      </c>
    </row>
    <row r="76" customFormat="false" ht="15" hidden="false" customHeight="false" outlineLevel="0" collapsed="false">
      <c r="A76" s="3" t="s">
        <v>120</v>
      </c>
      <c r="B76" s="16" t="n">
        <v>45861</v>
      </c>
      <c r="C76" s="3" t="s">
        <v>14</v>
      </c>
      <c r="D76" s="3" t="s">
        <v>50</v>
      </c>
      <c r="E76" s="3" t="s">
        <v>48</v>
      </c>
      <c r="F76" s="14" t="n">
        <v>5.6</v>
      </c>
      <c r="G76" s="3" t="n">
        <v>4</v>
      </c>
      <c r="H76" s="3" t="s">
        <v>44</v>
      </c>
    </row>
    <row r="77" customFormat="false" ht="15" hidden="false" customHeight="false" outlineLevel="0" collapsed="false">
      <c r="A77" s="5" t="s">
        <v>121</v>
      </c>
      <c r="B77" s="17" t="n">
        <v>45975</v>
      </c>
      <c r="C77" s="5" t="s">
        <v>8</v>
      </c>
      <c r="D77" s="5" t="s">
        <v>38</v>
      </c>
      <c r="E77" s="5" t="s">
        <v>46</v>
      </c>
      <c r="F77" s="15" t="n">
        <v>17.3</v>
      </c>
      <c r="G77" s="5" t="n">
        <v>5</v>
      </c>
      <c r="H77" s="5" t="s">
        <v>44</v>
      </c>
    </row>
    <row r="78" customFormat="false" ht="15" hidden="false" customHeight="false" outlineLevel="0" collapsed="false">
      <c r="A78" s="3" t="s">
        <v>122</v>
      </c>
      <c r="B78" s="16" t="n">
        <v>45703</v>
      </c>
      <c r="C78" s="3" t="s">
        <v>12</v>
      </c>
      <c r="D78" s="3" t="s">
        <v>50</v>
      </c>
      <c r="E78" s="3" t="s">
        <v>39</v>
      </c>
      <c r="F78" s="14" t="n">
        <v>6.8</v>
      </c>
      <c r="G78" s="3" t="n">
        <v>5</v>
      </c>
      <c r="H78" s="3" t="s">
        <v>44</v>
      </c>
    </row>
    <row r="79" customFormat="false" ht="15" hidden="false" customHeight="false" outlineLevel="0" collapsed="false">
      <c r="A79" s="5" t="s">
        <v>123</v>
      </c>
      <c r="B79" s="17" t="n">
        <v>45856</v>
      </c>
      <c r="C79" s="5" t="s">
        <v>8</v>
      </c>
      <c r="D79" s="5" t="s">
        <v>50</v>
      </c>
      <c r="E79" s="5" t="s">
        <v>39</v>
      </c>
      <c r="F79" s="15" t="n">
        <v>2.1</v>
      </c>
      <c r="G79" s="5" t="n">
        <v>4</v>
      </c>
      <c r="H79" s="5" t="s">
        <v>51</v>
      </c>
    </row>
    <row r="80" customFormat="false" ht="15" hidden="false" customHeight="false" outlineLevel="0" collapsed="false">
      <c r="A80" s="3" t="s">
        <v>124</v>
      </c>
      <c r="B80" s="16" t="n">
        <v>45925</v>
      </c>
      <c r="C80" s="3" t="s">
        <v>11</v>
      </c>
      <c r="D80" s="3" t="s">
        <v>60</v>
      </c>
      <c r="E80" s="3" t="s">
        <v>43</v>
      </c>
      <c r="F80" s="14" t="n">
        <v>76.3</v>
      </c>
      <c r="G80" s="3" t="n">
        <v>3</v>
      </c>
      <c r="H80" s="3" t="s">
        <v>51</v>
      </c>
    </row>
    <row r="81" customFormat="false" ht="15" hidden="false" customHeight="false" outlineLevel="0" collapsed="false">
      <c r="A81" s="5" t="s">
        <v>125</v>
      </c>
      <c r="B81" s="17" t="n">
        <v>46013</v>
      </c>
      <c r="C81" s="5" t="s">
        <v>8</v>
      </c>
      <c r="D81" s="5" t="s">
        <v>42</v>
      </c>
      <c r="E81" s="5" t="s">
        <v>43</v>
      </c>
      <c r="F81" s="15" t="n">
        <v>44.1</v>
      </c>
      <c r="G81" s="5" t="n">
        <v>4</v>
      </c>
      <c r="H81" s="5" t="s">
        <v>44</v>
      </c>
    </row>
    <row r="82" customFormat="false" ht="15" hidden="false" customHeight="false" outlineLevel="0" collapsed="false">
      <c r="A82" s="3" t="s">
        <v>126</v>
      </c>
      <c r="B82" s="16" t="n">
        <v>45915</v>
      </c>
      <c r="C82" s="3" t="s">
        <v>8</v>
      </c>
      <c r="D82" s="3" t="s">
        <v>38</v>
      </c>
      <c r="E82" s="3" t="s">
        <v>39</v>
      </c>
      <c r="F82" s="14" t="n">
        <v>8.6</v>
      </c>
      <c r="G82" s="3" t="n">
        <v>3</v>
      </c>
      <c r="H82" s="3" t="s">
        <v>44</v>
      </c>
    </row>
    <row r="83" customFormat="false" ht="15" hidden="false" customHeight="false" outlineLevel="0" collapsed="false">
      <c r="A83" s="5" t="s">
        <v>127</v>
      </c>
      <c r="B83" s="17" t="n">
        <v>45965</v>
      </c>
      <c r="C83" s="5" t="s">
        <v>8</v>
      </c>
      <c r="D83" s="5" t="s">
        <v>60</v>
      </c>
      <c r="E83" s="5" t="s">
        <v>46</v>
      </c>
      <c r="F83" s="15" t="n">
        <v>207.7</v>
      </c>
      <c r="G83" s="5" t="n">
        <v>2</v>
      </c>
      <c r="H83" s="5" t="s">
        <v>44</v>
      </c>
    </row>
    <row r="84" customFormat="false" ht="15" hidden="false" customHeight="false" outlineLevel="0" collapsed="false">
      <c r="A84" s="3" t="s">
        <v>128</v>
      </c>
      <c r="B84" s="16" t="n">
        <v>45846</v>
      </c>
      <c r="C84" s="3" t="s">
        <v>8</v>
      </c>
      <c r="D84" s="3" t="s">
        <v>42</v>
      </c>
      <c r="E84" s="3" t="s">
        <v>46</v>
      </c>
      <c r="F84" s="14" t="n">
        <v>56.4</v>
      </c>
      <c r="G84" s="3" t="n">
        <v>5</v>
      </c>
      <c r="H84" s="3" t="s">
        <v>44</v>
      </c>
    </row>
    <row r="85" customFormat="false" ht="15" hidden="false" customHeight="false" outlineLevel="0" collapsed="false">
      <c r="A85" s="5" t="s">
        <v>129</v>
      </c>
      <c r="B85" s="17" t="n">
        <v>46015</v>
      </c>
      <c r="C85" s="5" t="s">
        <v>11</v>
      </c>
      <c r="D85" s="5" t="s">
        <v>42</v>
      </c>
      <c r="E85" s="5" t="s">
        <v>43</v>
      </c>
      <c r="F85" s="15" t="n">
        <v>21.3</v>
      </c>
      <c r="G85" s="5" t="n">
        <v>5</v>
      </c>
      <c r="H85" s="5" t="s">
        <v>40</v>
      </c>
    </row>
    <row r="86" customFormat="false" ht="15" hidden="false" customHeight="false" outlineLevel="0" collapsed="false">
      <c r="A86" s="3" t="s">
        <v>130</v>
      </c>
      <c r="B86" s="16" t="n">
        <v>45826</v>
      </c>
      <c r="C86" s="3" t="s">
        <v>10</v>
      </c>
      <c r="D86" s="3" t="s">
        <v>38</v>
      </c>
      <c r="E86" s="3" t="s">
        <v>39</v>
      </c>
      <c r="F86" s="14" t="n">
        <v>4.1</v>
      </c>
      <c r="G86" s="3" t="n">
        <v>4</v>
      </c>
      <c r="H86" s="3" t="s">
        <v>44</v>
      </c>
    </row>
    <row r="87" customFormat="false" ht="15" hidden="false" customHeight="false" outlineLevel="0" collapsed="false">
      <c r="A87" s="5" t="s">
        <v>131</v>
      </c>
      <c r="B87" s="17" t="n">
        <v>45799</v>
      </c>
      <c r="C87" s="5" t="s">
        <v>14</v>
      </c>
      <c r="D87" s="5" t="s">
        <v>42</v>
      </c>
      <c r="E87" s="5" t="s">
        <v>43</v>
      </c>
      <c r="F87" s="15" t="n">
        <v>38.4</v>
      </c>
      <c r="G87" s="5" t="n">
        <v>5</v>
      </c>
      <c r="H87" s="5" t="s">
        <v>40</v>
      </c>
    </row>
    <row r="88" customFormat="false" ht="15" hidden="false" customHeight="false" outlineLevel="0" collapsed="false">
      <c r="A88" s="3" t="s">
        <v>132</v>
      </c>
      <c r="B88" s="16" t="n">
        <v>45875</v>
      </c>
      <c r="C88" s="3" t="s">
        <v>8</v>
      </c>
      <c r="D88" s="3" t="s">
        <v>38</v>
      </c>
      <c r="E88" s="3" t="s">
        <v>43</v>
      </c>
      <c r="F88" s="14" t="n">
        <v>14.1</v>
      </c>
      <c r="G88" s="3" t="n">
        <v>4</v>
      </c>
      <c r="H88" s="3" t="s">
        <v>44</v>
      </c>
    </row>
    <row r="89" customFormat="false" ht="15" hidden="false" customHeight="false" outlineLevel="0" collapsed="false">
      <c r="A89" s="5" t="s">
        <v>133</v>
      </c>
      <c r="B89" s="17" t="n">
        <v>45728</v>
      </c>
      <c r="C89" s="5" t="s">
        <v>8</v>
      </c>
      <c r="D89" s="5" t="s">
        <v>60</v>
      </c>
      <c r="E89" s="5" t="s">
        <v>48</v>
      </c>
      <c r="F89" s="15" t="n">
        <v>87.1</v>
      </c>
      <c r="G89" s="5" t="n">
        <v>2</v>
      </c>
      <c r="H89" s="5" t="s">
        <v>44</v>
      </c>
    </row>
    <row r="90" customFormat="false" ht="15" hidden="false" customHeight="false" outlineLevel="0" collapsed="false">
      <c r="A90" s="3" t="s">
        <v>134</v>
      </c>
      <c r="B90" s="16" t="n">
        <v>45961</v>
      </c>
      <c r="C90" s="3" t="s">
        <v>12</v>
      </c>
      <c r="D90" s="3" t="s">
        <v>60</v>
      </c>
      <c r="E90" s="3" t="s">
        <v>48</v>
      </c>
      <c r="F90" s="14" t="n">
        <v>127.5</v>
      </c>
      <c r="G90" s="3" t="n">
        <v>4</v>
      </c>
      <c r="H90" s="3" t="s">
        <v>44</v>
      </c>
    </row>
    <row r="91" customFormat="false" ht="15" hidden="false" customHeight="false" outlineLevel="0" collapsed="false">
      <c r="A91" s="5" t="s">
        <v>135</v>
      </c>
      <c r="B91" s="17" t="n">
        <v>45737</v>
      </c>
      <c r="C91" s="5" t="s">
        <v>13</v>
      </c>
      <c r="D91" s="5" t="s">
        <v>60</v>
      </c>
      <c r="E91" s="5" t="s">
        <v>39</v>
      </c>
      <c r="F91" s="15" t="n">
        <v>185.8</v>
      </c>
      <c r="G91" s="5" t="n">
        <v>5</v>
      </c>
      <c r="H91" s="5" t="s">
        <v>44</v>
      </c>
    </row>
    <row r="92" customFormat="false" ht="15" hidden="false" customHeight="false" outlineLevel="0" collapsed="false">
      <c r="A92" s="3" t="s">
        <v>136</v>
      </c>
      <c r="B92" s="16" t="n">
        <v>45740</v>
      </c>
      <c r="C92" s="3" t="s">
        <v>10</v>
      </c>
      <c r="D92" s="3" t="s">
        <v>42</v>
      </c>
      <c r="E92" s="3" t="s">
        <v>39</v>
      </c>
      <c r="F92" s="14" t="n">
        <v>16.1</v>
      </c>
      <c r="G92" s="3" t="n">
        <v>5</v>
      </c>
      <c r="H92" s="3" t="s">
        <v>44</v>
      </c>
    </row>
    <row r="93" customFormat="false" ht="15" hidden="false" customHeight="false" outlineLevel="0" collapsed="false">
      <c r="A93" s="5" t="s">
        <v>137</v>
      </c>
      <c r="B93" s="17" t="n">
        <v>45847</v>
      </c>
      <c r="C93" s="5" t="s">
        <v>11</v>
      </c>
      <c r="D93" s="5" t="s">
        <v>42</v>
      </c>
      <c r="E93" s="5" t="s">
        <v>48</v>
      </c>
      <c r="F93" s="15" t="n">
        <v>36.9</v>
      </c>
      <c r="G93" s="5" t="n">
        <v>2</v>
      </c>
      <c r="H93" s="5" t="s">
        <v>44</v>
      </c>
    </row>
    <row r="94" customFormat="false" ht="15" hidden="false" customHeight="false" outlineLevel="0" collapsed="false">
      <c r="A94" s="3" t="s">
        <v>138</v>
      </c>
      <c r="B94" s="16" t="n">
        <v>45884</v>
      </c>
      <c r="C94" s="3" t="s">
        <v>8</v>
      </c>
      <c r="D94" s="3" t="s">
        <v>50</v>
      </c>
      <c r="E94" s="3" t="s">
        <v>43</v>
      </c>
      <c r="F94" s="14" t="n">
        <v>1</v>
      </c>
      <c r="G94" s="3" t="n">
        <v>4</v>
      </c>
      <c r="H94" s="3" t="s">
        <v>44</v>
      </c>
    </row>
    <row r="95" customFormat="false" ht="15" hidden="false" customHeight="false" outlineLevel="0" collapsed="false">
      <c r="A95" s="5" t="s">
        <v>139</v>
      </c>
      <c r="B95" s="17" t="n">
        <v>45843</v>
      </c>
      <c r="C95" s="5" t="s">
        <v>13</v>
      </c>
      <c r="D95" s="5" t="s">
        <v>60</v>
      </c>
      <c r="E95" s="5" t="s">
        <v>48</v>
      </c>
      <c r="F95" s="15" t="n">
        <v>133.2</v>
      </c>
      <c r="G95" s="5" t="n">
        <v>4</v>
      </c>
      <c r="H95" s="5" t="s">
        <v>44</v>
      </c>
    </row>
    <row r="96" customFormat="false" ht="15" hidden="false" customHeight="false" outlineLevel="0" collapsed="false">
      <c r="A96" s="3" t="s">
        <v>140</v>
      </c>
      <c r="B96" s="16" t="n">
        <v>45904</v>
      </c>
      <c r="C96" s="3" t="s">
        <v>7</v>
      </c>
      <c r="D96" s="3" t="s">
        <v>38</v>
      </c>
      <c r="E96" s="3" t="s">
        <v>48</v>
      </c>
      <c r="F96" s="14" t="n">
        <v>9</v>
      </c>
      <c r="G96" s="3" t="n">
        <v>5</v>
      </c>
      <c r="H96" s="3" t="s">
        <v>40</v>
      </c>
    </row>
    <row r="97" customFormat="false" ht="15" hidden="false" customHeight="false" outlineLevel="0" collapsed="false">
      <c r="A97" s="5" t="s">
        <v>141</v>
      </c>
      <c r="B97" s="17" t="n">
        <v>45666</v>
      </c>
      <c r="C97" s="5" t="s">
        <v>9</v>
      </c>
      <c r="D97" s="5" t="s">
        <v>60</v>
      </c>
      <c r="E97" s="5" t="s">
        <v>46</v>
      </c>
      <c r="F97" s="15" t="n">
        <v>199.3</v>
      </c>
      <c r="G97" s="5" t="n">
        <v>5</v>
      </c>
      <c r="H97" s="5" t="s">
        <v>40</v>
      </c>
    </row>
    <row r="98" customFormat="false" ht="15" hidden="false" customHeight="false" outlineLevel="0" collapsed="false">
      <c r="A98" s="3" t="s">
        <v>142</v>
      </c>
      <c r="B98" s="16" t="n">
        <v>45824</v>
      </c>
      <c r="C98" s="3" t="s">
        <v>14</v>
      </c>
      <c r="D98" s="3" t="s">
        <v>42</v>
      </c>
      <c r="E98" s="3" t="s">
        <v>48</v>
      </c>
      <c r="F98" s="14" t="n">
        <v>9.3</v>
      </c>
      <c r="G98" s="3" t="n">
        <v>4</v>
      </c>
      <c r="H98" s="3" t="s">
        <v>44</v>
      </c>
    </row>
    <row r="99" customFormat="false" ht="15" hidden="false" customHeight="false" outlineLevel="0" collapsed="false">
      <c r="A99" s="5" t="s">
        <v>143</v>
      </c>
      <c r="B99" s="17" t="n">
        <v>45790</v>
      </c>
      <c r="C99" s="5" t="s">
        <v>13</v>
      </c>
      <c r="D99" s="5" t="s">
        <v>42</v>
      </c>
      <c r="E99" s="5" t="s">
        <v>48</v>
      </c>
      <c r="F99" s="15" t="n">
        <v>70.8</v>
      </c>
      <c r="G99" s="5" t="n">
        <v>5</v>
      </c>
      <c r="H99" s="5" t="s">
        <v>44</v>
      </c>
    </row>
    <row r="100" customFormat="false" ht="15" hidden="false" customHeight="false" outlineLevel="0" collapsed="false">
      <c r="A100" s="3" t="s">
        <v>144</v>
      </c>
      <c r="B100" s="16" t="n">
        <v>45942</v>
      </c>
      <c r="C100" s="3" t="s">
        <v>11</v>
      </c>
      <c r="D100" s="3" t="s">
        <v>60</v>
      </c>
      <c r="E100" s="3" t="s">
        <v>48</v>
      </c>
      <c r="F100" s="14" t="n">
        <v>107</v>
      </c>
      <c r="G100" s="3" t="n">
        <v>4</v>
      </c>
      <c r="H100" s="3" t="s">
        <v>44</v>
      </c>
    </row>
    <row r="101" customFormat="false" ht="15" hidden="false" customHeight="false" outlineLevel="0" collapsed="false">
      <c r="A101" s="5" t="s">
        <v>145</v>
      </c>
      <c r="B101" s="17" t="n">
        <v>45886</v>
      </c>
      <c r="C101" s="5" t="s">
        <v>13</v>
      </c>
      <c r="D101" s="5" t="s">
        <v>42</v>
      </c>
      <c r="E101" s="5" t="s">
        <v>43</v>
      </c>
      <c r="F101" s="15" t="n">
        <v>37.6</v>
      </c>
      <c r="G101" s="5" t="n">
        <v>2</v>
      </c>
      <c r="H101" s="5" t="s">
        <v>51</v>
      </c>
    </row>
    <row r="102" customFormat="false" ht="15" hidden="false" customHeight="false" outlineLevel="0" collapsed="false">
      <c r="A102" s="3" t="s">
        <v>146</v>
      </c>
      <c r="B102" s="16" t="n">
        <v>45763</v>
      </c>
      <c r="C102" s="3" t="s">
        <v>12</v>
      </c>
      <c r="D102" s="3" t="s">
        <v>38</v>
      </c>
      <c r="E102" s="3" t="s">
        <v>48</v>
      </c>
      <c r="F102" s="14" t="n">
        <v>12.5</v>
      </c>
      <c r="G102" s="3" t="n">
        <v>5</v>
      </c>
      <c r="H102" s="3" t="s">
        <v>44</v>
      </c>
    </row>
    <row r="103" customFormat="false" ht="15" hidden="false" customHeight="false" outlineLevel="0" collapsed="false">
      <c r="A103" s="5" t="s">
        <v>147</v>
      </c>
      <c r="B103" s="17" t="n">
        <v>45967</v>
      </c>
      <c r="C103" s="5" t="s">
        <v>9</v>
      </c>
      <c r="D103" s="5" t="s">
        <v>38</v>
      </c>
      <c r="E103" s="5" t="s">
        <v>48</v>
      </c>
      <c r="F103" s="15" t="n">
        <v>17.9</v>
      </c>
      <c r="G103" s="5" t="n">
        <v>5</v>
      </c>
      <c r="H103" s="5" t="s">
        <v>40</v>
      </c>
    </row>
    <row r="104" customFormat="false" ht="15" hidden="false" customHeight="false" outlineLevel="0" collapsed="false">
      <c r="A104" s="3" t="s">
        <v>148</v>
      </c>
      <c r="B104" s="16" t="n">
        <v>45684</v>
      </c>
      <c r="C104" s="3" t="s">
        <v>13</v>
      </c>
      <c r="D104" s="3" t="s">
        <v>60</v>
      </c>
      <c r="E104" s="3" t="s">
        <v>39</v>
      </c>
      <c r="F104" s="14" t="n">
        <v>193.8</v>
      </c>
      <c r="G104" s="3" t="n">
        <v>4</v>
      </c>
      <c r="H104" s="3" t="s">
        <v>40</v>
      </c>
    </row>
    <row r="105" customFormat="false" ht="15" hidden="false" customHeight="false" outlineLevel="0" collapsed="false">
      <c r="A105" s="5" t="s">
        <v>149</v>
      </c>
      <c r="B105" s="17" t="n">
        <v>45859</v>
      </c>
      <c r="C105" s="5" t="s">
        <v>10</v>
      </c>
      <c r="D105" s="5" t="s">
        <v>38</v>
      </c>
      <c r="E105" s="5" t="s">
        <v>46</v>
      </c>
      <c r="F105" s="15" t="n">
        <v>19.2</v>
      </c>
      <c r="G105" s="5" t="n">
        <v>5</v>
      </c>
      <c r="H105" s="5" t="s">
        <v>44</v>
      </c>
    </row>
    <row r="106" customFormat="false" ht="15" hidden="false" customHeight="false" outlineLevel="0" collapsed="false">
      <c r="A106" s="3" t="s">
        <v>150</v>
      </c>
      <c r="B106" s="16" t="n">
        <v>45661</v>
      </c>
      <c r="C106" s="3" t="s">
        <v>12</v>
      </c>
      <c r="D106" s="3" t="s">
        <v>60</v>
      </c>
      <c r="E106" s="3" t="s">
        <v>43</v>
      </c>
      <c r="F106" s="14" t="n">
        <v>120.1</v>
      </c>
      <c r="G106" s="3" t="n">
        <v>4</v>
      </c>
      <c r="H106" s="3" t="s">
        <v>51</v>
      </c>
    </row>
    <row r="107" customFormat="false" ht="15" hidden="false" customHeight="false" outlineLevel="0" collapsed="false">
      <c r="A107" s="5" t="s">
        <v>151</v>
      </c>
      <c r="B107" s="17" t="n">
        <v>45700</v>
      </c>
      <c r="C107" s="5" t="s">
        <v>12</v>
      </c>
      <c r="D107" s="5" t="s">
        <v>42</v>
      </c>
      <c r="E107" s="5" t="s">
        <v>48</v>
      </c>
      <c r="F107" s="15" t="n">
        <v>34.3</v>
      </c>
      <c r="G107" s="5" t="n">
        <v>4</v>
      </c>
      <c r="H107" s="5" t="s">
        <v>44</v>
      </c>
    </row>
    <row r="108" customFormat="false" ht="15" hidden="false" customHeight="false" outlineLevel="0" collapsed="false">
      <c r="A108" s="3" t="s">
        <v>152</v>
      </c>
      <c r="B108" s="16" t="n">
        <v>45818</v>
      </c>
      <c r="C108" s="3" t="s">
        <v>10</v>
      </c>
      <c r="D108" s="3" t="s">
        <v>42</v>
      </c>
      <c r="E108" s="3" t="s">
        <v>46</v>
      </c>
      <c r="F108" s="14" t="n">
        <v>33.2</v>
      </c>
      <c r="G108" s="3" t="n">
        <v>2</v>
      </c>
      <c r="H108" s="3" t="s">
        <v>44</v>
      </c>
    </row>
    <row r="109" customFormat="false" ht="15" hidden="false" customHeight="false" outlineLevel="0" collapsed="false">
      <c r="A109" s="5" t="s">
        <v>153</v>
      </c>
      <c r="B109" s="17" t="n">
        <v>45914</v>
      </c>
      <c r="C109" s="5" t="s">
        <v>14</v>
      </c>
      <c r="D109" s="5" t="s">
        <v>42</v>
      </c>
      <c r="E109" s="5" t="s">
        <v>46</v>
      </c>
      <c r="F109" s="15" t="n">
        <v>28.7</v>
      </c>
      <c r="G109" s="5" t="n">
        <v>3</v>
      </c>
      <c r="H109" s="5" t="s">
        <v>44</v>
      </c>
    </row>
    <row r="110" customFormat="false" ht="15" hidden="false" customHeight="false" outlineLevel="0" collapsed="false">
      <c r="A110" s="3" t="s">
        <v>154</v>
      </c>
      <c r="B110" s="16" t="n">
        <v>45958</v>
      </c>
      <c r="C110" s="3" t="s">
        <v>7</v>
      </c>
      <c r="D110" s="3" t="s">
        <v>38</v>
      </c>
      <c r="E110" s="3" t="s">
        <v>46</v>
      </c>
      <c r="F110" s="14" t="n">
        <v>5.2</v>
      </c>
      <c r="G110" s="3" t="n">
        <v>3</v>
      </c>
      <c r="H110" s="3" t="s">
        <v>44</v>
      </c>
    </row>
    <row r="111" customFormat="false" ht="15" hidden="false" customHeight="false" outlineLevel="0" collapsed="false">
      <c r="A111" s="5" t="s">
        <v>155</v>
      </c>
      <c r="B111" s="17" t="n">
        <v>45864</v>
      </c>
      <c r="C111" s="5" t="s">
        <v>9</v>
      </c>
      <c r="D111" s="5" t="s">
        <v>42</v>
      </c>
      <c r="E111" s="5" t="s">
        <v>43</v>
      </c>
      <c r="F111" s="15" t="n">
        <v>17.9</v>
      </c>
      <c r="G111" s="5" t="n">
        <v>5</v>
      </c>
      <c r="H111" s="5" t="s">
        <v>44</v>
      </c>
    </row>
    <row r="112" customFormat="false" ht="15" hidden="false" customHeight="false" outlineLevel="0" collapsed="false">
      <c r="A112" s="3" t="s">
        <v>156</v>
      </c>
      <c r="B112" s="16" t="n">
        <v>45987</v>
      </c>
      <c r="C112" s="3" t="s">
        <v>9</v>
      </c>
      <c r="D112" s="3" t="s">
        <v>42</v>
      </c>
      <c r="E112" s="3" t="s">
        <v>39</v>
      </c>
      <c r="F112" s="14" t="n">
        <v>56.3</v>
      </c>
      <c r="G112" s="3" t="n">
        <v>5</v>
      </c>
      <c r="H112" s="3" t="s">
        <v>44</v>
      </c>
    </row>
    <row r="113" customFormat="false" ht="15" hidden="false" customHeight="false" outlineLevel="0" collapsed="false">
      <c r="A113" s="5" t="s">
        <v>157</v>
      </c>
      <c r="B113" s="17" t="n">
        <v>45991</v>
      </c>
      <c r="C113" s="5" t="s">
        <v>14</v>
      </c>
      <c r="D113" s="5" t="s">
        <v>42</v>
      </c>
      <c r="E113" s="5" t="s">
        <v>39</v>
      </c>
      <c r="F113" s="15" t="n">
        <v>69.9</v>
      </c>
      <c r="G113" s="5" t="n">
        <v>3</v>
      </c>
      <c r="H113" s="5" t="s">
        <v>44</v>
      </c>
    </row>
    <row r="114" customFormat="false" ht="15" hidden="false" customHeight="false" outlineLevel="0" collapsed="false">
      <c r="A114" s="3" t="s">
        <v>158</v>
      </c>
      <c r="B114" s="16" t="n">
        <v>45687</v>
      </c>
      <c r="C114" s="3" t="s">
        <v>11</v>
      </c>
      <c r="D114" s="3" t="s">
        <v>38</v>
      </c>
      <c r="E114" s="3" t="s">
        <v>46</v>
      </c>
      <c r="F114" s="14" t="n">
        <v>4.5</v>
      </c>
      <c r="G114" s="3" t="n">
        <v>4</v>
      </c>
      <c r="H114" s="3" t="s">
        <v>40</v>
      </c>
    </row>
    <row r="115" customFormat="false" ht="15" hidden="false" customHeight="false" outlineLevel="0" collapsed="false">
      <c r="A115" s="5" t="s">
        <v>159</v>
      </c>
      <c r="B115" s="17" t="n">
        <v>45864</v>
      </c>
      <c r="C115" s="5" t="s">
        <v>10</v>
      </c>
      <c r="D115" s="5" t="s">
        <v>50</v>
      </c>
      <c r="E115" s="5" t="s">
        <v>43</v>
      </c>
      <c r="F115" s="15" t="n">
        <v>7.5</v>
      </c>
      <c r="G115" s="5" t="n">
        <v>5</v>
      </c>
      <c r="H115" s="5" t="s">
        <v>40</v>
      </c>
    </row>
    <row r="116" customFormat="false" ht="15" hidden="false" customHeight="false" outlineLevel="0" collapsed="false">
      <c r="A116" s="3" t="s">
        <v>160</v>
      </c>
      <c r="B116" s="16" t="n">
        <v>45662</v>
      </c>
      <c r="C116" s="3" t="s">
        <v>10</v>
      </c>
      <c r="D116" s="3" t="s">
        <v>42</v>
      </c>
      <c r="E116" s="3" t="s">
        <v>43</v>
      </c>
      <c r="F116" s="14" t="n">
        <v>18.4</v>
      </c>
      <c r="G116" s="3" t="n">
        <v>5</v>
      </c>
      <c r="H116" s="3" t="s">
        <v>51</v>
      </c>
    </row>
    <row r="117" customFormat="false" ht="15" hidden="false" customHeight="false" outlineLevel="0" collapsed="false">
      <c r="A117" s="5" t="s">
        <v>161</v>
      </c>
      <c r="B117" s="17" t="n">
        <v>45869</v>
      </c>
      <c r="C117" s="5" t="s">
        <v>7</v>
      </c>
      <c r="D117" s="5" t="s">
        <v>50</v>
      </c>
      <c r="E117" s="5" t="s">
        <v>46</v>
      </c>
      <c r="F117" s="15" t="n">
        <v>1.9</v>
      </c>
      <c r="G117" s="5" t="n">
        <v>4</v>
      </c>
      <c r="H117" s="5" t="s">
        <v>44</v>
      </c>
    </row>
    <row r="118" customFormat="false" ht="15" hidden="false" customHeight="false" outlineLevel="0" collapsed="false">
      <c r="A118" s="3" t="s">
        <v>162</v>
      </c>
      <c r="B118" s="16" t="n">
        <v>45697</v>
      </c>
      <c r="C118" s="3" t="s">
        <v>7</v>
      </c>
      <c r="D118" s="3" t="s">
        <v>42</v>
      </c>
      <c r="E118" s="3" t="s">
        <v>39</v>
      </c>
      <c r="F118" s="14" t="n">
        <v>63.3</v>
      </c>
      <c r="G118" s="3" t="n">
        <v>4</v>
      </c>
      <c r="H118" s="3" t="s">
        <v>44</v>
      </c>
    </row>
    <row r="119" customFormat="false" ht="15" hidden="false" customHeight="false" outlineLevel="0" collapsed="false">
      <c r="A119" s="5" t="s">
        <v>163</v>
      </c>
      <c r="B119" s="17" t="n">
        <v>45768</v>
      </c>
      <c r="C119" s="5" t="s">
        <v>8</v>
      </c>
      <c r="D119" s="5" t="s">
        <v>42</v>
      </c>
      <c r="E119" s="5" t="s">
        <v>43</v>
      </c>
      <c r="F119" s="15" t="n">
        <v>35.4</v>
      </c>
      <c r="G119" s="5" t="n">
        <v>5</v>
      </c>
      <c r="H119" s="5" t="s">
        <v>44</v>
      </c>
    </row>
    <row r="120" customFormat="false" ht="15" hidden="false" customHeight="false" outlineLevel="0" collapsed="false">
      <c r="A120" s="3" t="s">
        <v>164</v>
      </c>
      <c r="B120" s="16" t="n">
        <v>46008</v>
      </c>
      <c r="C120" s="3" t="s">
        <v>7</v>
      </c>
      <c r="D120" s="3" t="s">
        <v>60</v>
      </c>
      <c r="E120" s="3" t="s">
        <v>46</v>
      </c>
      <c r="F120" s="14" t="n">
        <v>145</v>
      </c>
      <c r="G120" s="3" t="n">
        <v>3</v>
      </c>
      <c r="H120" s="3" t="s">
        <v>44</v>
      </c>
    </row>
    <row r="121" customFormat="false" ht="15" hidden="false" customHeight="false" outlineLevel="0" collapsed="false">
      <c r="A121" s="5" t="s">
        <v>165</v>
      </c>
      <c r="B121" s="17" t="n">
        <v>45892</v>
      </c>
      <c r="C121" s="5" t="s">
        <v>9</v>
      </c>
      <c r="D121" s="5" t="s">
        <v>38</v>
      </c>
      <c r="E121" s="5" t="s">
        <v>46</v>
      </c>
      <c r="F121" s="15" t="n">
        <v>10.3</v>
      </c>
      <c r="G121" s="5" t="n">
        <v>3</v>
      </c>
      <c r="H121" s="5" t="s">
        <v>44</v>
      </c>
    </row>
    <row r="122" customFormat="false" ht="15" hidden="false" customHeight="false" outlineLevel="0" collapsed="false">
      <c r="A122" s="3" t="s">
        <v>166</v>
      </c>
      <c r="B122" s="16" t="n">
        <v>45883</v>
      </c>
      <c r="C122" s="3" t="s">
        <v>9</v>
      </c>
      <c r="D122" s="3" t="s">
        <v>42</v>
      </c>
      <c r="E122" s="3" t="s">
        <v>48</v>
      </c>
      <c r="F122" s="14" t="n">
        <v>34.6</v>
      </c>
      <c r="G122" s="3" t="n">
        <v>3</v>
      </c>
      <c r="H122" s="3" t="s">
        <v>40</v>
      </c>
    </row>
    <row r="123" customFormat="false" ht="15" hidden="false" customHeight="false" outlineLevel="0" collapsed="false">
      <c r="A123" s="5" t="s">
        <v>167</v>
      </c>
      <c r="B123" s="17" t="n">
        <v>45660</v>
      </c>
      <c r="C123" s="5" t="s">
        <v>10</v>
      </c>
      <c r="D123" s="5" t="s">
        <v>60</v>
      </c>
      <c r="E123" s="5" t="s">
        <v>39</v>
      </c>
      <c r="F123" s="15" t="n">
        <v>181</v>
      </c>
      <c r="G123" s="5" t="n">
        <v>5</v>
      </c>
      <c r="H123" s="5" t="s">
        <v>44</v>
      </c>
    </row>
    <row r="124" customFormat="false" ht="15" hidden="false" customHeight="false" outlineLevel="0" collapsed="false">
      <c r="A124" s="3" t="s">
        <v>168</v>
      </c>
      <c r="B124" s="16" t="n">
        <v>45791</v>
      </c>
      <c r="C124" s="3" t="s">
        <v>7</v>
      </c>
      <c r="D124" s="3" t="s">
        <v>38</v>
      </c>
      <c r="E124" s="3" t="s">
        <v>46</v>
      </c>
      <c r="F124" s="14" t="n">
        <v>15.5</v>
      </c>
      <c r="G124" s="3" t="n">
        <v>4</v>
      </c>
      <c r="H124" s="3" t="s">
        <v>40</v>
      </c>
    </row>
    <row r="125" customFormat="false" ht="15" hidden="false" customHeight="false" outlineLevel="0" collapsed="false">
      <c r="A125" s="5" t="s">
        <v>169</v>
      </c>
      <c r="B125" s="17" t="n">
        <v>45824</v>
      </c>
      <c r="C125" s="5" t="s">
        <v>8</v>
      </c>
      <c r="D125" s="5" t="s">
        <v>42</v>
      </c>
      <c r="E125" s="5" t="s">
        <v>43</v>
      </c>
      <c r="F125" s="15" t="n">
        <v>54.7</v>
      </c>
      <c r="G125" s="5" t="n">
        <v>3</v>
      </c>
      <c r="H125" s="5" t="s">
        <v>44</v>
      </c>
    </row>
    <row r="126" customFormat="false" ht="15" hidden="false" customHeight="false" outlineLevel="0" collapsed="false">
      <c r="A126" s="3" t="s">
        <v>170</v>
      </c>
      <c r="B126" s="16" t="n">
        <v>46016</v>
      </c>
      <c r="C126" s="3" t="s">
        <v>9</v>
      </c>
      <c r="D126" s="3" t="s">
        <v>60</v>
      </c>
      <c r="E126" s="3" t="s">
        <v>48</v>
      </c>
      <c r="F126" s="14" t="n">
        <v>53.1</v>
      </c>
      <c r="G126" s="3" t="n">
        <v>5</v>
      </c>
      <c r="H126" s="3" t="s">
        <v>44</v>
      </c>
    </row>
    <row r="127" customFormat="false" ht="15" hidden="false" customHeight="false" outlineLevel="0" collapsed="false">
      <c r="A127" s="5" t="s">
        <v>171</v>
      </c>
      <c r="B127" s="17" t="n">
        <v>45951</v>
      </c>
      <c r="C127" s="5" t="s">
        <v>8</v>
      </c>
      <c r="D127" s="5" t="s">
        <v>60</v>
      </c>
      <c r="E127" s="5" t="s">
        <v>43</v>
      </c>
      <c r="F127" s="15" t="n">
        <v>91.4</v>
      </c>
      <c r="G127" s="5" t="n">
        <v>2</v>
      </c>
      <c r="H127" s="5" t="s">
        <v>40</v>
      </c>
    </row>
    <row r="128" customFormat="false" ht="15" hidden="false" customHeight="false" outlineLevel="0" collapsed="false">
      <c r="A128" s="3" t="s">
        <v>172</v>
      </c>
      <c r="B128" s="16" t="n">
        <v>45877</v>
      </c>
      <c r="C128" s="3" t="s">
        <v>7</v>
      </c>
      <c r="D128" s="3" t="s">
        <v>38</v>
      </c>
      <c r="E128" s="3" t="s">
        <v>48</v>
      </c>
      <c r="F128" s="14" t="n">
        <v>17.8</v>
      </c>
      <c r="G128" s="3" t="n">
        <v>4</v>
      </c>
      <c r="H128" s="3" t="s">
        <v>51</v>
      </c>
    </row>
    <row r="129" customFormat="false" ht="15" hidden="false" customHeight="false" outlineLevel="0" collapsed="false">
      <c r="A129" s="5" t="s">
        <v>173</v>
      </c>
      <c r="B129" s="17" t="n">
        <v>45827</v>
      </c>
      <c r="C129" s="5" t="s">
        <v>9</v>
      </c>
      <c r="D129" s="5" t="s">
        <v>42</v>
      </c>
      <c r="E129" s="5" t="s">
        <v>43</v>
      </c>
      <c r="F129" s="15" t="n">
        <v>42.5</v>
      </c>
      <c r="G129" s="5" t="n">
        <v>4</v>
      </c>
      <c r="H129" s="5" t="s">
        <v>44</v>
      </c>
    </row>
    <row r="130" customFormat="false" ht="15" hidden="false" customHeight="false" outlineLevel="0" collapsed="false">
      <c r="A130" s="3" t="s">
        <v>174</v>
      </c>
      <c r="B130" s="16" t="n">
        <v>45959</v>
      </c>
      <c r="C130" s="3" t="s">
        <v>14</v>
      </c>
      <c r="D130" s="3" t="s">
        <v>38</v>
      </c>
      <c r="E130" s="3" t="s">
        <v>46</v>
      </c>
      <c r="F130" s="14" t="n">
        <v>2.5</v>
      </c>
      <c r="G130" s="3" t="n">
        <v>5</v>
      </c>
      <c r="H130" s="3" t="s">
        <v>40</v>
      </c>
    </row>
    <row r="131" customFormat="false" ht="15" hidden="false" customHeight="false" outlineLevel="0" collapsed="false">
      <c r="A131" s="5" t="s">
        <v>175</v>
      </c>
      <c r="B131" s="17" t="n">
        <v>45937</v>
      </c>
      <c r="C131" s="5" t="s">
        <v>13</v>
      </c>
      <c r="D131" s="5" t="s">
        <v>38</v>
      </c>
      <c r="E131" s="5" t="s">
        <v>39</v>
      </c>
      <c r="F131" s="15" t="n">
        <v>11.2</v>
      </c>
      <c r="G131" s="5" t="n">
        <v>4</v>
      </c>
      <c r="H131" s="5" t="s">
        <v>44</v>
      </c>
    </row>
    <row r="132" customFormat="false" ht="15" hidden="false" customHeight="false" outlineLevel="0" collapsed="false">
      <c r="A132" s="3" t="s">
        <v>176</v>
      </c>
      <c r="B132" s="16" t="n">
        <v>45869</v>
      </c>
      <c r="C132" s="3" t="s">
        <v>7</v>
      </c>
      <c r="D132" s="3" t="s">
        <v>38</v>
      </c>
      <c r="E132" s="3" t="s">
        <v>39</v>
      </c>
      <c r="F132" s="14" t="n">
        <v>16.6</v>
      </c>
      <c r="G132" s="3" t="n">
        <v>5</v>
      </c>
      <c r="H132" s="3" t="s">
        <v>40</v>
      </c>
    </row>
    <row r="133" customFormat="false" ht="15" hidden="false" customHeight="false" outlineLevel="0" collapsed="false">
      <c r="A133" s="5" t="s">
        <v>177</v>
      </c>
      <c r="B133" s="17" t="n">
        <v>45745</v>
      </c>
      <c r="C133" s="5" t="s">
        <v>7</v>
      </c>
      <c r="D133" s="5" t="s">
        <v>38</v>
      </c>
      <c r="E133" s="5" t="s">
        <v>39</v>
      </c>
      <c r="F133" s="15" t="n">
        <v>21.9</v>
      </c>
      <c r="G133" s="5" t="n">
        <v>5</v>
      </c>
      <c r="H133" s="5" t="s">
        <v>44</v>
      </c>
    </row>
    <row r="134" customFormat="false" ht="15" hidden="false" customHeight="false" outlineLevel="0" collapsed="false">
      <c r="A134" s="3" t="s">
        <v>178</v>
      </c>
      <c r="B134" s="16" t="n">
        <v>45779</v>
      </c>
      <c r="C134" s="3" t="s">
        <v>7</v>
      </c>
      <c r="D134" s="3" t="s">
        <v>38</v>
      </c>
      <c r="E134" s="3" t="s">
        <v>39</v>
      </c>
      <c r="F134" s="14" t="n">
        <v>14.9</v>
      </c>
      <c r="G134" s="3" t="n">
        <v>3</v>
      </c>
      <c r="H134" s="3" t="s">
        <v>44</v>
      </c>
    </row>
    <row r="135" customFormat="false" ht="15" hidden="false" customHeight="false" outlineLevel="0" collapsed="false">
      <c r="A135" s="5" t="s">
        <v>179</v>
      </c>
      <c r="B135" s="17" t="n">
        <v>45836</v>
      </c>
      <c r="C135" s="5" t="s">
        <v>10</v>
      </c>
      <c r="D135" s="5" t="s">
        <v>38</v>
      </c>
      <c r="E135" s="5" t="s">
        <v>43</v>
      </c>
      <c r="F135" s="15" t="n">
        <v>2.1</v>
      </c>
      <c r="G135" s="5" t="n">
        <v>3</v>
      </c>
      <c r="H135" s="5" t="s">
        <v>44</v>
      </c>
    </row>
    <row r="136" customFormat="false" ht="15" hidden="false" customHeight="false" outlineLevel="0" collapsed="false">
      <c r="A136" s="3" t="s">
        <v>180</v>
      </c>
      <c r="B136" s="16" t="n">
        <v>45692</v>
      </c>
      <c r="C136" s="3" t="s">
        <v>7</v>
      </c>
      <c r="D136" s="3" t="s">
        <v>38</v>
      </c>
      <c r="E136" s="3" t="s">
        <v>46</v>
      </c>
      <c r="F136" s="14" t="n">
        <v>21.9</v>
      </c>
      <c r="G136" s="3" t="n">
        <v>5</v>
      </c>
      <c r="H136" s="3" t="s">
        <v>44</v>
      </c>
    </row>
    <row r="137" customFormat="false" ht="15" hidden="false" customHeight="false" outlineLevel="0" collapsed="false">
      <c r="A137" s="5" t="s">
        <v>181</v>
      </c>
      <c r="B137" s="17" t="n">
        <v>45688</v>
      </c>
      <c r="C137" s="5" t="s">
        <v>8</v>
      </c>
      <c r="D137" s="5" t="s">
        <v>42</v>
      </c>
      <c r="E137" s="5" t="s">
        <v>43</v>
      </c>
      <c r="F137" s="15" t="n">
        <v>71.3</v>
      </c>
      <c r="G137" s="5" t="n">
        <v>4</v>
      </c>
      <c r="H137" s="5" t="s">
        <v>51</v>
      </c>
    </row>
    <row r="138" customFormat="false" ht="15" hidden="false" customHeight="false" outlineLevel="0" collapsed="false">
      <c r="A138" s="3" t="s">
        <v>182</v>
      </c>
      <c r="B138" s="16" t="n">
        <v>46007</v>
      </c>
      <c r="C138" s="3" t="s">
        <v>7</v>
      </c>
      <c r="D138" s="3" t="s">
        <v>38</v>
      </c>
      <c r="E138" s="3" t="s">
        <v>48</v>
      </c>
      <c r="F138" s="14" t="n">
        <v>14.8</v>
      </c>
      <c r="G138" s="3" t="n">
        <v>5</v>
      </c>
      <c r="H138" s="3" t="s">
        <v>40</v>
      </c>
    </row>
    <row r="139" customFormat="false" ht="15" hidden="false" customHeight="false" outlineLevel="0" collapsed="false">
      <c r="A139" s="5" t="s">
        <v>183</v>
      </c>
      <c r="B139" s="17" t="n">
        <v>45803</v>
      </c>
      <c r="C139" s="5" t="s">
        <v>10</v>
      </c>
      <c r="D139" s="5" t="s">
        <v>42</v>
      </c>
      <c r="E139" s="5" t="s">
        <v>43</v>
      </c>
      <c r="F139" s="15" t="n">
        <v>18.7</v>
      </c>
      <c r="G139" s="5" t="n">
        <v>3</v>
      </c>
      <c r="H139" s="5" t="s">
        <v>44</v>
      </c>
    </row>
    <row r="140" customFormat="false" ht="15" hidden="false" customHeight="false" outlineLevel="0" collapsed="false">
      <c r="A140" s="3" t="s">
        <v>184</v>
      </c>
      <c r="B140" s="16" t="n">
        <v>45859</v>
      </c>
      <c r="C140" s="3" t="s">
        <v>9</v>
      </c>
      <c r="D140" s="3" t="s">
        <v>42</v>
      </c>
      <c r="E140" s="3" t="s">
        <v>43</v>
      </c>
      <c r="F140" s="14" t="n">
        <v>6.5</v>
      </c>
      <c r="G140" s="3" t="n">
        <v>4</v>
      </c>
      <c r="H140" s="3" t="s">
        <v>44</v>
      </c>
    </row>
    <row r="141" customFormat="false" ht="15" hidden="false" customHeight="false" outlineLevel="0" collapsed="false">
      <c r="A141" s="5" t="s">
        <v>185</v>
      </c>
      <c r="B141" s="17" t="n">
        <v>45946</v>
      </c>
      <c r="C141" s="5" t="s">
        <v>10</v>
      </c>
      <c r="D141" s="5" t="s">
        <v>38</v>
      </c>
      <c r="E141" s="5" t="s">
        <v>46</v>
      </c>
      <c r="F141" s="15" t="n">
        <v>18.6</v>
      </c>
      <c r="G141" s="5" t="n">
        <v>2</v>
      </c>
      <c r="H141" s="5" t="s">
        <v>40</v>
      </c>
    </row>
    <row r="142" customFormat="false" ht="15" hidden="false" customHeight="false" outlineLevel="0" collapsed="false">
      <c r="A142" s="3" t="s">
        <v>186</v>
      </c>
      <c r="B142" s="16" t="n">
        <v>45687</v>
      </c>
      <c r="C142" s="3" t="s">
        <v>14</v>
      </c>
      <c r="D142" s="3" t="s">
        <v>60</v>
      </c>
      <c r="E142" s="3" t="s">
        <v>48</v>
      </c>
      <c r="F142" s="14" t="n">
        <v>83.4</v>
      </c>
      <c r="G142" s="3" t="n">
        <v>5</v>
      </c>
      <c r="H142" s="3" t="s">
        <v>40</v>
      </c>
    </row>
    <row r="143" customFormat="false" ht="15" hidden="false" customHeight="false" outlineLevel="0" collapsed="false">
      <c r="A143" s="5" t="s">
        <v>187</v>
      </c>
      <c r="B143" s="17" t="n">
        <v>45972</v>
      </c>
      <c r="C143" s="5" t="s">
        <v>9</v>
      </c>
      <c r="D143" s="5" t="s">
        <v>60</v>
      </c>
      <c r="E143" s="5" t="s">
        <v>39</v>
      </c>
      <c r="F143" s="15" t="n">
        <v>44.5</v>
      </c>
      <c r="G143" s="5" t="n">
        <v>5</v>
      </c>
      <c r="H143" s="5" t="s">
        <v>44</v>
      </c>
    </row>
    <row r="144" customFormat="false" ht="15" hidden="false" customHeight="false" outlineLevel="0" collapsed="false">
      <c r="A144" s="3" t="s">
        <v>188</v>
      </c>
      <c r="B144" s="16" t="n">
        <v>45759</v>
      </c>
      <c r="C144" s="3" t="s">
        <v>8</v>
      </c>
      <c r="D144" s="3" t="s">
        <v>42</v>
      </c>
      <c r="E144" s="3" t="s">
        <v>46</v>
      </c>
      <c r="F144" s="14" t="n">
        <v>44.8</v>
      </c>
      <c r="G144" s="3" t="n">
        <v>4</v>
      </c>
      <c r="H144" s="3" t="s">
        <v>44</v>
      </c>
    </row>
    <row r="145" customFormat="false" ht="15" hidden="false" customHeight="false" outlineLevel="0" collapsed="false">
      <c r="A145" s="5" t="s">
        <v>189</v>
      </c>
      <c r="B145" s="17" t="n">
        <v>45665</v>
      </c>
      <c r="C145" s="5" t="s">
        <v>13</v>
      </c>
      <c r="D145" s="5" t="s">
        <v>38</v>
      </c>
      <c r="E145" s="5" t="s">
        <v>46</v>
      </c>
      <c r="F145" s="15" t="n">
        <v>16.1</v>
      </c>
      <c r="G145" s="5" t="n">
        <v>4</v>
      </c>
      <c r="H145" s="5" t="s">
        <v>44</v>
      </c>
    </row>
    <row r="146" customFormat="false" ht="15" hidden="false" customHeight="false" outlineLevel="0" collapsed="false">
      <c r="A146" s="3" t="s">
        <v>190</v>
      </c>
      <c r="B146" s="16" t="n">
        <v>45833</v>
      </c>
      <c r="C146" s="3" t="s">
        <v>8</v>
      </c>
      <c r="D146" s="3" t="s">
        <v>42</v>
      </c>
      <c r="E146" s="3" t="s">
        <v>43</v>
      </c>
      <c r="F146" s="14" t="n">
        <v>32.1</v>
      </c>
      <c r="G146" s="3" t="n">
        <v>2</v>
      </c>
      <c r="H146" s="3" t="s">
        <v>44</v>
      </c>
    </row>
    <row r="147" customFormat="false" ht="15" hidden="false" customHeight="false" outlineLevel="0" collapsed="false">
      <c r="A147" s="5" t="s">
        <v>191</v>
      </c>
      <c r="B147" s="17" t="n">
        <v>45709</v>
      </c>
      <c r="C147" s="5" t="s">
        <v>14</v>
      </c>
      <c r="D147" s="5" t="s">
        <v>42</v>
      </c>
      <c r="E147" s="5" t="s">
        <v>48</v>
      </c>
      <c r="F147" s="15" t="n">
        <v>14.5</v>
      </c>
      <c r="G147" s="5" t="n">
        <v>4</v>
      </c>
      <c r="H147" s="5" t="s">
        <v>44</v>
      </c>
    </row>
    <row r="148" customFormat="false" ht="15" hidden="false" customHeight="false" outlineLevel="0" collapsed="false">
      <c r="A148" s="3" t="s">
        <v>192</v>
      </c>
      <c r="B148" s="16" t="n">
        <v>45900</v>
      </c>
      <c r="C148" s="3" t="s">
        <v>12</v>
      </c>
      <c r="D148" s="3" t="s">
        <v>38</v>
      </c>
      <c r="E148" s="3" t="s">
        <v>48</v>
      </c>
      <c r="F148" s="14" t="n">
        <v>7.5</v>
      </c>
      <c r="G148" s="3" t="n">
        <v>3</v>
      </c>
      <c r="H148" s="3" t="s">
        <v>44</v>
      </c>
    </row>
    <row r="149" customFormat="false" ht="15" hidden="false" customHeight="false" outlineLevel="0" collapsed="false">
      <c r="A149" s="5" t="s">
        <v>193</v>
      </c>
      <c r="B149" s="17" t="n">
        <v>46017</v>
      </c>
      <c r="C149" s="5" t="s">
        <v>7</v>
      </c>
      <c r="D149" s="5" t="s">
        <v>60</v>
      </c>
      <c r="E149" s="5" t="s">
        <v>48</v>
      </c>
      <c r="F149" s="15" t="n">
        <v>39.5</v>
      </c>
      <c r="G149" s="5" t="n">
        <v>5</v>
      </c>
      <c r="H149" s="5" t="s">
        <v>44</v>
      </c>
    </row>
    <row r="150" customFormat="false" ht="15" hidden="false" customHeight="false" outlineLevel="0" collapsed="false">
      <c r="A150" s="3" t="s">
        <v>194</v>
      </c>
      <c r="B150" s="16" t="n">
        <v>45671</v>
      </c>
      <c r="C150" s="3" t="s">
        <v>7</v>
      </c>
      <c r="D150" s="3" t="s">
        <v>42</v>
      </c>
      <c r="E150" s="3" t="s">
        <v>43</v>
      </c>
      <c r="F150" s="14" t="n">
        <v>49.5</v>
      </c>
      <c r="G150" s="3" t="n">
        <v>5</v>
      </c>
      <c r="H150" s="3" t="s">
        <v>44</v>
      </c>
    </row>
    <row r="151" customFormat="false" ht="15" hidden="false" customHeight="false" outlineLevel="0" collapsed="false">
      <c r="A151" s="5" t="s">
        <v>195</v>
      </c>
      <c r="B151" s="17" t="n">
        <v>45819</v>
      </c>
      <c r="C151" s="5" t="s">
        <v>9</v>
      </c>
      <c r="D151" s="5" t="s">
        <v>38</v>
      </c>
      <c r="E151" s="5" t="s">
        <v>43</v>
      </c>
      <c r="F151" s="15" t="n">
        <v>5.7</v>
      </c>
      <c r="G151" s="5" t="n">
        <v>3</v>
      </c>
      <c r="H151" s="5" t="s">
        <v>44</v>
      </c>
    </row>
    <row r="152" customFormat="false" ht="15" hidden="false" customHeight="false" outlineLevel="0" collapsed="false">
      <c r="A152" s="3" t="s">
        <v>196</v>
      </c>
      <c r="B152" s="16" t="n">
        <v>46011</v>
      </c>
      <c r="C152" s="3" t="s">
        <v>10</v>
      </c>
      <c r="D152" s="3" t="s">
        <v>60</v>
      </c>
      <c r="E152" s="3" t="s">
        <v>46</v>
      </c>
      <c r="F152" s="14" t="n">
        <v>14.3</v>
      </c>
      <c r="G152" s="3" t="n">
        <v>2</v>
      </c>
      <c r="H152" s="3" t="s">
        <v>44</v>
      </c>
    </row>
    <row r="153" customFormat="false" ht="15" hidden="false" customHeight="false" outlineLevel="0" collapsed="false">
      <c r="A153" s="5" t="s">
        <v>197</v>
      </c>
      <c r="B153" s="17" t="n">
        <v>45729</v>
      </c>
      <c r="C153" s="5" t="s">
        <v>8</v>
      </c>
      <c r="D153" s="5" t="s">
        <v>42</v>
      </c>
      <c r="E153" s="5" t="s">
        <v>39</v>
      </c>
      <c r="F153" s="15" t="n">
        <v>25.8</v>
      </c>
      <c r="G153" s="5" t="n">
        <v>5</v>
      </c>
      <c r="H153" s="5" t="s">
        <v>44</v>
      </c>
    </row>
    <row r="154" customFormat="false" ht="15" hidden="false" customHeight="false" outlineLevel="0" collapsed="false">
      <c r="A154" s="3" t="s">
        <v>198</v>
      </c>
      <c r="B154" s="16" t="n">
        <v>45922</v>
      </c>
      <c r="C154" s="3" t="s">
        <v>14</v>
      </c>
      <c r="D154" s="3" t="s">
        <v>42</v>
      </c>
      <c r="E154" s="3" t="s">
        <v>48</v>
      </c>
      <c r="F154" s="14" t="n">
        <v>48.1</v>
      </c>
      <c r="G154" s="3" t="n">
        <v>4</v>
      </c>
      <c r="H154" s="3" t="s">
        <v>40</v>
      </c>
    </row>
    <row r="155" customFormat="false" ht="15" hidden="false" customHeight="false" outlineLevel="0" collapsed="false">
      <c r="A155" s="5" t="s">
        <v>199</v>
      </c>
      <c r="B155" s="17" t="n">
        <v>45722</v>
      </c>
      <c r="C155" s="5" t="s">
        <v>12</v>
      </c>
      <c r="D155" s="5" t="s">
        <v>42</v>
      </c>
      <c r="E155" s="5" t="s">
        <v>46</v>
      </c>
      <c r="F155" s="15" t="n">
        <v>62.8</v>
      </c>
      <c r="G155" s="5" t="n">
        <v>3</v>
      </c>
      <c r="H155" s="5" t="s">
        <v>44</v>
      </c>
    </row>
    <row r="156" customFormat="false" ht="15" hidden="false" customHeight="false" outlineLevel="0" collapsed="false">
      <c r="A156" s="3" t="s">
        <v>200</v>
      </c>
      <c r="B156" s="16" t="n">
        <v>45914</v>
      </c>
      <c r="C156" s="3" t="s">
        <v>10</v>
      </c>
      <c r="D156" s="3" t="s">
        <v>42</v>
      </c>
      <c r="E156" s="3" t="s">
        <v>46</v>
      </c>
      <c r="F156" s="14" t="n">
        <v>47.5</v>
      </c>
      <c r="G156" s="3" t="n">
        <v>5</v>
      </c>
      <c r="H156" s="3" t="s">
        <v>51</v>
      </c>
    </row>
    <row r="157" customFormat="false" ht="15" hidden="false" customHeight="false" outlineLevel="0" collapsed="false">
      <c r="A157" s="5" t="s">
        <v>201</v>
      </c>
      <c r="B157" s="17" t="n">
        <v>45934</v>
      </c>
      <c r="C157" s="5" t="s">
        <v>8</v>
      </c>
      <c r="D157" s="5" t="s">
        <v>42</v>
      </c>
      <c r="E157" s="5" t="s">
        <v>39</v>
      </c>
      <c r="F157" s="15" t="n">
        <v>26</v>
      </c>
      <c r="G157" s="5" t="n">
        <v>4</v>
      </c>
      <c r="H157" s="5" t="s">
        <v>44</v>
      </c>
    </row>
    <row r="158" customFormat="false" ht="15" hidden="false" customHeight="false" outlineLevel="0" collapsed="false">
      <c r="A158" s="3" t="s">
        <v>202</v>
      </c>
      <c r="B158" s="16" t="n">
        <v>45679</v>
      </c>
      <c r="C158" s="3" t="s">
        <v>13</v>
      </c>
      <c r="D158" s="3" t="s">
        <v>42</v>
      </c>
      <c r="E158" s="3" t="s">
        <v>48</v>
      </c>
      <c r="F158" s="14" t="n">
        <v>60.7</v>
      </c>
      <c r="G158" s="3" t="n">
        <v>3</v>
      </c>
      <c r="H158" s="3" t="s">
        <v>44</v>
      </c>
    </row>
    <row r="159" customFormat="false" ht="15" hidden="false" customHeight="false" outlineLevel="0" collapsed="false">
      <c r="A159" s="5" t="s">
        <v>203</v>
      </c>
      <c r="B159" s="17" t="n">
        <v>45778</v>
      </c>
      <c r="C159" s="5" t="s">
        <v>9</v>
      </c>
      <c r="D159" s="5" t="s">
        <v>42</v>
      </c>
      <c r="E159" s="5" t="s">
        <v>48</v>
      </c>
      <c r="F159" s="15" t="n">
        <v>29.4</v>
      </c>
      <c r="G159" s="5" t="n">
        <v>4</v>
      </c>
      <c r="H159" s="5" t="s">
        <v>40</v>
      </c>
    </row>
    <row r="160" customFormat="false" ht="15" hidden="false" customHeight="false" outlineLevel="0" collapsed="false">
      <c r="A160" s="3" t="s">
        <v>204</v>
      </c>
      <c r="B160" s="16" t="n">
        <v>45687</v>
      </c>
      <c r="C160" s="3" t="s">
        <v>9</v>
      </c>
      <c r="D160" s="3" t="s">
        <v>38</v>
      </c>
      <c r="E160" s="3" t="s">
        <v>46</v>
      </c>
      <c r="F160" s="14" t="n">
        <v>23.1</v>
      </c>
      <c r="G160" s="3" t="n">
        <v>4</v>
      </c>
      <c r="H160" s="3" t="s">
        <v>40</v>
      </c>
    </row>
    <row r="161" customFormat="false" ht="15" hidden="false" customHeight="false" outlineLevel="0" collapsed="false">
      <c r="A161" s="5" t="s">
        <v>205</v>
      </c>
      <c r="B161" s="17" t="n">
        <v>45828</v>
      </c>
      <c r="C161" s="5" t="s">
        <v>12</v>
      </c>
      <c r="D161" s="5" t="s">
        <v>42</v>
      </c>
      <c r="E161" s="5" t="s">
        <v>43</v>
      </c>
      <c r="F161" s="15" t="n">
        <v>60.7</v>
      </c>
      <c r="G161" s="5" t="n">
        <v>4</v>
      </c>
      <c r="H161" s="5" t="s">
        <v>44</v>
      </c>
    </row>
    <row r="162" customFormat="false" ht="15" hidden="false" customHeight="false" outlineLevel="0" collapsed="false">
      <c r="A162" s="3" t="s">
        <v>206</v>
      </c>
      <c r="B162" s="16" t="n">
        <v>46016</v>
      </c>
      <c r="C162" s="3" t="s">
        <v>13</v>
      </c>
      <c r="D162" s="3" t="s">
        <v>42</v>
      </c>
      <c r="E162" s="3" t="s">
        <v>48</v>
      </c>
      <c r="F162" s="14" t="n">
        <v>14.9</v>
      </c>
      <c r="G162" s="3" t="n">
        <v>5</v>
      </c>
      <c r="H162" s="3" t="s">
        <v>44</v>
      </c>
    </row>
    <row r="163" customFormat="false" ht="15" hidden="false" customHeight="false" outlineLevel="0" collapsed="false">
      <c r="A163" s="5" t="s">
        <v>207</v>
      </c>
      <c r="B163" s="17" t="n">
        <v>45918</v>
      </c>
      <c r="C163" s="5" t="s">
        <v>11</v>
      </c>
      <c r="D163" s="5" t="s">
        <v>42</v>
      </c>
      <c r="E163" s="5" t="s">
        <v>43</v>
      </c>
      <c r="F163" s="15" t="n">
        <v>49.5</v>
      </c>
      <c r="G163" s="5" t="n">
        <v>5</v>
      </c>
      <c r="H163" s="5" t="s">
        <v>44</v>
      </c>
    </row>
    <row r="164" customFormat="false" ht="15" hidden="false" customHeight="false" outlineLevel="0" collapsed="false">
      <c r="A164" s="3" t="s">
        <v>208</v>
      </c>
      <c r="B164" s="16" t="n">
        <v>45814</v>
      </c>
      <c r="C164" s="3" t="s">
        <v>10</v>
      </c>
      <c r="D164" s="3" t="s">
        <v>60</v>
      </c>
      <c r="E164" s="3" t="s">
        <v>46</v>
      </c>
      <c r="F164" s="14" t="n">
        <v>180.1</v>
      </c>
      <c r="G164" s="3" t="n">
        <v>2</v>
      </c>
      <c r="H164" s="3" t="s">
        <v>40</v>
      </c>
    </row>
    <row r="165" customFormat="false" ht="15" hidden="false" customHeight="false" outlineLevel="0" collapsed="false">
      <c r="A165" s="5" t="s">
        <v>209</v>
      </c>
      <c r="B165" s="17" t="n">
        <v>45858</v>
      </c>
      <c r="C165" s="5" t="s">
        <v>9</v>
      </c>
      <c r="D165" s="5" t="s">
        <v>42</v>
      </c>
      <c r="E165" s="5" t="s">
        <v>43</v>
      </c>
      <c r="F165" s="15" t="n">
        <v>18.1</v>
      </c>
      <c r="G165" s="5" t="n">
        <v>4</v>
      </c>
      <c r="H165" s="5" t="s">
        <v>44</v>
      </c>
    </row>
    <row r="166" customFormat="false" ht="15" hidden="false" customHeight="false" outlineLevel="0" collapsed="false">
      <c r="A166" s="3" t="s">
        <v>210</v>
      </c>
      <c r="B166" s="16" t="n">
        <v>45931</v>
      </c>
      <c r="C166" s="3" t="s">
        <v>9</v>
      </c>
      <c r="D166" s="3" t="s">
        <v>42</v>
      </c>
      <c r="E166" s="3" t="s">
        <v>48</v>
      </c>
      <c r="F166" s="14" t="n">
        <v>17.1</v>
      </c>
      <c r="G166" s="3" t="n">
        <v>5</v>
      </c>
      <c r="H166" s="3" t="s">
        <v>44</v>
      </c>
    </row>
    <row r="167" customFormat="false" ht="15" hidden="false" customHeight="false" outlineLevel="0" collapsed="false">
      <c r="A167" s="5" t="s">
        <v>211</v>
      </c>
      <c r="B167" s="17" t="n">
        <v>45886</v>
      </c>
      <c r="C167" s="5" t="s">
        <v>9</v>
      </c>
      <c r="D167" s="5" t="s">
        <v>42</v>
      </c>
      <c r="E167" s="5" t="s">
        <v>43</v>
      </c>
      <c r="F167" s="15" t="n">
        <v>44.9</v>
      </c>
      <c r="G167" s="5" t="n">
        <v>4</v>
      </c>
      <c r="H167" s="5" t="s">
        <v>44</v>
      </c>
    </row>
    <row r="168" customFormat="false" ht="15" hidden="false" customHeight="false" outlineLevel="0" collapsed="false">
      <c r="A168" s="3" t="s">
        <v>212</v>
      </c>
      <c r="B168" s="16" t="n">
        <v>45988</v>
      </c>
      <c r="C168" s="3" t="s">
        <v>7</v>
      </c>
      <c r="D168" s="3" t="s">
        <v>50</v>
      </c>
      <c r="E168" s="3" t="s">
        <v>43</v>
      </c>
      <c r="F168" s="14" t="n">
        <v>6.4</v>
      </c>
      <c r="G168" s="3" t="n">
        <v>3</v>
      </c>
      <c r="H168" s="3" t="s">
        <v>44</v>
      </c>
    </row>
    <row r="169" customFormat="false" ht="15" hidden="false" customHeight="false" outlineLevel="0" collapsed="false">
      <c r="A169" s="5" t="s">
        <v>213</v>
      </c>
      <c r="B169" s="17" t="n">
        <v>45702</v>
      </c>
      <c r="C169" s="5" t="s">
        <v>11</v>
      </c>
      <c r="D169" s="5" t="s">
        <v>42</v>
      </c>
      <c r="E169" s="5" t="s">
        <v>43</v>
      </c>
      <c r="F169" s="15" t="n">
        <v>45.2</v>
      </c>
      <c r="G169" s="5" t="n">
        <v>5</v>
      </c>
      <c r="H169" s="5" t="s">
        <v>40</v>
      </c>
    </row>
    <row r="170" customFormat="false" ht="15" hidden="false" customHeight="false" outlineLevel="0" collapsed="false">
      <c r="A170" s="3" t="s">
        <v>214</v>
      </c>
      <c r="B170" s="16" t="n">
        <v>46017</v>
      </c>
      <c r="C170" s="3" t="s">
        <v>13</v>
      </c>
      <c r="D170" s="3" t="s">
        <v>42</v>
      </c>
      <c r="E170" s="3" t="s">
        <v>48</v>
      </c>
      <c r="F170" s="14" t="n">
        <v>8.6</v>
      </c>
      <c r="G170" s="3" t="n">
        <v>4</v>
      </c>
      <c r="H170" s="3" t="s">
        <v>44</v>
      </c>
    </row>
    <row r="171" customFormat="false" ht="15" hidden="false" customHeight="false" outlineLevel="0" collapsed="false">
      <c r="A171" s="5" t="s">
        <v>215</v>
      </c>
      <c r="B171" s="17" t="n">
        <v>45792</v>
      </c>
      <c r="C171" s="5" t="s">
        <v>12</v>
      </c>
      <c r="D171" s="5" t="s">
        <v>60</v>
      </c>
      <c r="E171" s="5" t="s">
        <v>39</v>
      </c>
      <c r="F171" s="15" t="n">
        <v>231.5</v>
      </c>
      <c r="G171" s="5" t="n">
        <v>4</v>
      </c>
      <c r="H171" s="5" t="s">
        <v>44</v>
      </c>
    </row>
    <row r="172" customFormat="false" ht="15" hidden="false" customHeight="false" outlineLevel="0" collapsed="false">
      <c r="A172" s="3" t="s">
        <v>216</v>
      </c>
      <c r="B172" s="16" t="n">
        <v>45752</v>
      </c>
      <c r="C172" s="3" t="s">
        <v>8</v>
      </c>
      <c r="D172" s="3" t="s">
        <v>42</v>
      </c>
      <c r="E172" s="3" t="s">
        <v>46</v>
      </c>
      <c r="F172" s="14" t="n">
        <v>48.7</v>
      </c>
      <c r="G172" s="3" t="n">
        <v>1</v>
      </c>
      <c r="H172" s="3" t="s">
        <v>44</v>
      </c>
    </row>
    <row r="173" customFormat="false" ht="15" hidden="false" customHeight="false" outlineLevel="0" collapsed="false">
      <c r="A173" s="5" t="s">
        <v>217</v>
      </c>
      <c r="B173" s="17" t="n">
        <v>45972</v>
      </c>
      <c r="C173" s="5" t="s">
        <v>8</v>
      </c>
      <c r="D173" s="5" t="s">
        <v>50</v>
      </c>
      <c r="E173" s="5" t="s">
        <v>39</v>
      </c>
      <c r="F173" s="15" t="n">
        <v>4.8</v>
      </c>
      <c r="G173" s="5" t="n">
        <v>3</v>
      </c>
      <c r="H173" s="5" t="s">
        <v>44</v>
      </c>
    </row>
    <row r="174" customFormat="false" ht="15" hidden="false" customHeight="false" outlineLevel="0" collapsed="false">
      <c r="A174" s="3" t="s">
        <v>218</v>
      </c>
      <c r="B174" s="16" t="n">
        <v>45933</v>
      </c>
      <c r="C174" s="3" t="s">
        <v>9</v>
      </c>
      <c r="D174" s="3" t="s">
        <v>38</v>
      </c>
      <c r="E174" s="3" t="s">
        <v>46</v>
      </c>
      <c r="F174" s="14" t="n">
        <v>20.4</v>
      </c>
      <c r="G174" s="3" t="n">
        <v>2</v>
      </c>
      <c r="H174" s="3" t="s">
        <v>40</v>
      </c>
    </row>
    <row r="175" customFormat="false" ht="15" hidden="false" customHeight="false" outlineLevel="0" collapsed="false">
      <c r="A175" s="5" t="s">
        <v>219</v>
      </c>
      <c r="B175" s="17" t="n">
        <v>45771</v>
      </c>
      <c r="C175" s="5" t="s">
        <v>13</v>
      </c>
      <c r="D175" s="5" t="s">
        <v>60</v>
      </c>
      <c r="E175" s="5" t="s">
        <v>39</v>
      </c>
      <c r="F175" s="15" t="n">
        <v>107.7</v>
      </c>
      <c r="G175" s="5" t="n">
        <v>1</v>
      </c>
      <c r="H175" s="5" t="s">
        <v>40</v>
      </c>
    </row>
    <row r="176" customFormat="false" ht="15" hidden="false" customHeight="false" outlineLevel="0" collapsed="false">
      <c r="A176" s="3" t="s">
        <v>220</v>
      </c>
      <c r="B176" s="16" t="n">
        <v>45731</v>
      </c>
      <c r="C176" s="3" t="s">
        <v>14</v>
      </c>
      <c r="D176" s="3" t="s">
        <v>42</v>
      </c>
      <c r="E176" s="3" t="s">
        <v>39</v>
      </c>
      <c r="F176" s="14" t="n">
        <v>27.1</v>
      </c>
      <c r="G176" s="3" t="n">
        <v>4</v>
      </c>
      <c r="H176" s="3" t="s">
        <v>44</v>
      </c>
    </row>
    <row r="177" customFormat="false" ht="15" hidden="false" customHeight="false" outlineLevel="0" collapsed="false">
      <c r="A177" s="5" t="s">
        <v>221</v>
      </c>
      <c r="B177" s="17" t="n">
        <v>46008</v>
      </c>
      <c r="C177" s="5" t="s">
        <v>13</v>
      </c>
      <c r="D177" s="5" t="s">
        <v>60</v>
      </c>
      <c r="E177" s="5" t="s">
        <v>39</v>
      </c>
      <c r="F177" s="15" t="n">
        <v>120.1</v>
      </c>
      <c r="G177" s="5" t="n">
        <v>4</v>
      </c>
      <c r="H177" s="5" t="s">
        <v>44</v>
      </c>
    </row>
    <row r="178" customFormat="false" ht="15" hidden="false" customHeight="false" outlineLevel="0" collapsed="false">
      <c r="A178" s="3" t="s">
        <v>222</v>
      </c>
      <c r="B178" s="16" t="n">
        <v>45858</v>
      </c>
      <c r="C178" s="3" t="s">
        <v>11</v>
      </c>
      <c r="D178" s="3" t="s">
        <v>38</v>
      </c>
      <c r="E178" s="3" t="s">
        <v>46</v>
      </c>
      <c r="F178" s="14" t="n">
        <v>2.2</v>
      </c>
      <c r="G178" s="3" t="n">
        <v>4</v>
      </c>
      <c r="H178" s="3" t="s">
        <v>44</v>
      </c>
    </row>
    <row r="179" customFormat="false" ht="15" hidden="false" customHeight="false" outlineLevel="0" collapsed="false">
      <c r="A179" s="5" t="s">
        <v>223</v>
      </c>
      <c r="B179" s="17" t="n">
        <v>45895</v>
      </c>
      <c r="C179" s="5" t="s">
        <v>9</v>
      </c>
      <c r="D179" s="5" t="s">
        <v>38</v>
      </c>
      <c r="E179" s="5" t="s">
        <v>48</v>
      </c>
      <c r="F179" s="15" t="n">
        <v>4</v>
      </c>
      <c r="G179" s="5" t="n">
        <v>5</v>
      </c>
      <c r="H179" s="5" t="s">
        <v>51</v>
      </c>
    </row>
    <row r="180" customFormat="false" ht="15" hidden="false" customHeight="false" outlineLevel="0" collapsed="false">
      <c r="A180" s="3" t="s">
        <v>224</v>
      </c>
      <c r="B180" s="16" t="n">
        <v>45733</v>
      </c>
      <c r="C180" s="3" t="s">
        <v>10</v>
      </c>
      <c r="D180" s="3" t="s">
        <v>42</v>
      </c>
      <c r="E180" s="3" t="s">
        <v>43</v>
      </c>
      <c r="F180" s="14" t="n">
        <v>70.9</v>
      </c>
      <c r="G180" s="3" t="n">
        <v>5</v>
      </c>
      <c r="H180" s="3" t="s">
        <v>44</v>
      </c>
    </row>
    <row r="181" customFormat="false" ht="15" hidden="false" customHeight="false" outlineLevel="0" collapsed="false">
      <c r="A181" s="5" t="s">
        <v>225</v>
      </c>
      <c r="B181" s="17" t="n">
        <v>45716</v>
      </c>
      <c r="C181" s="5" t="s">
        <v>7</v>
      </c>
      <c r="D181" s="5" t="s">
        <v>42</v>
      </c>
      <c r="E181" s="5" t="s">
        <v>46</v>
      </c>
      <c r="F181" s="15" t="n">
        <v>24.7</v>
      </c>
      <c r="G181" s="5" t="n">
        <v>2</v>
      </c>
      <c r="H181" s="5" t="s">
        <v>44</v>
      </c>
    </row>
    <row r="182" customFormat="false" ht="15" hidden="false" customHeight="false" outlineLevel="0" collapsed="false">
      <c r="A182" s="3" t="s">
        <v>226</v>
      </c>
      <c r="B182" s="16" t="n">
        <v>45811</v>
      </c>
      <c r="C182" s="3" t="s">
        <v>9</v>
      </c>
      <c r="D182" s="3" t="s">
        <v>60</v>
      </c>
      <c r="E182" s="3" t="s">
        <v>39</v>
      </c>
      <c r="F182" s="14" t="n">
        <v>100.7</v>
      </c>
      <c r="G182" s="3" t="n">
        <v>4</v>
      </c>
      <c r="H182" s="3" t="s">
        <v>44</v>
      </c>
    </row>
    <row r="183" customFormat="false" ht="15" hidden="false" customHeight="false" outlineLevel="0" collapsed="false">
      <c r="A183" s="5" t="s">
        <v>227</v>
      </c>
      <c r="B183" s="17" t="n">
        <v>45717</v>
      </c>
      <c r="C183" s="5" t="s">
        <v>10</v>
      </c>
      <c r="D183" s="5" t="s">
        <v>42</v>
      </c>
      <c r="E183" s="5" t="s">
        <v>48</v>
      </c>
      <c r="F183" s="15" t="n">
        <v>37</v>
      </c>
      <c r="G183" s="5" t="n">
        <v>5</v>
      </c>
      <c r="H183" s="5" t="s">
        <v>40</v>
      </c>
    </row>
    <row r="184" customFormat="false" ht="15" hidden="false" customHeight="false" outlineLevel="0" collapsed="false">
      <c r="A184" s="3" t="s">
        <v>228</v>
      </c>
      <c r="B184" s="16" t="n">
        <v>45843</v>
      </c>
      <c r="C184" s="3" t="s">
        <v>14</v>
      </c>
      <c r="D184" s="3" t="s">
        <v>60</v>
      </c>
      <c r="E184" s="3" t="s">
        <v>39</v>
      </c>
      <c r="F184" s="14" t="n">
        <v>108.2</v>
      </c>
      <c r="G184" s="3" t="n">
        <v>5</v>
      </c>
      <c r="H184" s="3" t="s">
        <v>44</v>
      </c>
    </row>
    <row r="185" customFormat="false" ht="15" hidden="false" customHeight="false" outlineLevel="0" collapsed="false">
      <c r="A185" s="5" t="s">
        <v>229</v>
      </c>
      <c r="B185" s="17" t="n">
        <v>45967</v>
      </c>
      <c r="C185" s="5" t="s">
        <v>11</v>
      </c>
      <c r="D185" s="5" t="s">
        <v>38</v>
      </c>
      <c r="E185" s="5" t="s">
        <v>39</v>
      </c>
      <c r="F185" s="15" t="n">
        <v>20</v>
      </c>
      <c r="G185" s="5" t="n">
        <v>5</v>
      </c>
      <c r="H185" s="5" t="s">
        <v>44</v>
      </c>
    </row>
    <row r="186" customFormat="false" ht="15" hidden="false" customHeight="false" outlineLevel="0" collapsed="false">
      <c r="A186" s="3" t="s">
        <v>230</v>
      </c>
      <c r="B186" s="16" t="n">
        <v>45900</v>
      </c>
      <c r="C186" s="3" t="s">
        <v>12</v>
      </c>
      <c r="D186" s="3" t="s">
        <v>60</v>
      </c>
      <c r="E186" s="3" t="s">
        <v>39</v>
      </c>
      <c r="F186" s="14" t="n">
        <v>128.6</v>
      </c>
      <c r="G186" s="3" t="n">
        <v>4</v>
      </c>
      <c r="H186" s="3" t="s">
        <v>44</v>
      </c>
    </row>
    <row r="187" customFormat="false" ht="15" hidden="false" customHeight="false" outlineLevel="0" collapsed="false">
      <c r="A187" s="5" t="s">
        <v>231</v>
      </c>
      <c r="B187" s="17" t="n">
        <v>45911</v>
      </c>
      <c r="C187" s="5" t="s">
        <v>10</v>
      </c>
      <c r="D187" s="5" t="s">
        <v>38</v>
      </c>
      <c r="E187" s="5" t="s">
        <v>43</v>
      </c>
      <c r="F187" s="15" t="n">
        <v>2.9</v>
      </c>
      <c r="G187" s="5" t="n">
        <v>3</v>
      </c>
      <c r="H187" s="5" t="s">
        <v>40</v>
      </c>
    </row>
    <row r="188" customFormat="false" ht="15" hidden="false" customHeight="false" outlineLevel="0" collapsed="false">
      <c r="A188" s="3" t="s">
        <v>232</v>
      </c>
      <c r="B188" s="16" t="n">
        <v>45770</v>
      </c>
      <c r="C188" s="3" t="s">
        <v>14</v>
      </c>
      <c r="D188" s="3" t="s">
        <v>38</v>
      </c>
      <c r="E188" s="3" t="s">
        <v>46</v>
      </c>
      <c r="F188" s="14" t="n">
        <v>3.7</v>
      </c>
      <c r="G188" s="3" t="n">
        <v>4</v>
      </c>
      <c r="H188" s="3" t="s">
        <v>44</v>
      </c>
    </row>
    <row r="189" customFormat="false" ht="15" hidden="false" customHeight="false" outlineLevel="0" collapsed="false">
      <c r="A189" s="5" t="s">
        <v>233</v>
      </c>
      <c r="B189" s="17" t="n">
        <v>45795</v>
      </c>
      <c r="C189" s="5" t="s">
        <v>12</v>
      </c>
      <c r="D189" s="5" t="s">
        <v>42</v>
      </c>
      <c r="E189" s="5" t="s">
        <v>46</v>
      </c>
      <c r="F189" s="15" t="n">
        <v>58.5</v>
      </c>
      <c r="G189" s="5" t="n">
        <v>4</v>
      </c>
      <c r="H189" s="5" t="s">
        <v>44</v>
      </c>
    </row>
    <row r="190" customFormat="false" ht="15" hidden="false" customHeight="false" outlineLevel="0" collapsed="false">
      <c r="A190" s="3" t="s">
        <v>234</v>
      </c>
      <c r="B190" s="16" t="n">
        <v>45951</v>
      </c>
      <c r="C190" s="3" t="s">
        <v>11</v>
      </c>
      <c r="D190" s="3" t="s">
        <v>42</v>
      </c>
      <c r="E190" s="3" t="s">
        <v>39</v>
      </c>
      <c r="F190" s="14" t="n">
        <v>16.9</v>
      </c>
      <c r="G190" s="3" t="n">
        <v>5</v>
      </c>
      <c r="H190" s="3" t="s">
        <v>40</v>
      </c>
    </row>
    <row r="191" customFormat="false" ht="15" hidden="false" customHeight="false" outlineLevel="0" collapsed="false">
      <c r="A191" s="5" t="s">
        <v>235</v>
      </c>
      <c r="B191" s="17" t="n">
        <v>45847</v>
      </c>
      <c r="C191" s="5" t="s">
        <v>10</v>
      </c>
      <c r="D191" s="5" t="s">
        <v>42</v>
      </c>
      <c r="E191" s="5" t="s">
        <v>43</v>
      </c>
      <c r="F191" s="15" t="n">
        <v>33.6</v>
      </c>
      <c r="G191" s="5" t="n">
        <v>4</v>
      </c>
      <c r="H191" s="5" t="s">
        <v>44</v>
      </c>
    </row>
    <row r="192" customFormat="false" ht="15" hidden="false" customHeight="false" outlineLevel="0" collapsed="false">
      <c r="A192" s="3" t="s">
        <v>236</v>
      </c>
      <c r="B192" s="16" t="n">
        <v>46010</v>
      </c>
      <c r="C192" s="3" t="s">
        <v>14</v>
      </c>
      <c r="D192" s="3" t="s">
        <v>38</v>
      </c>
      <c r="E192" s="3" t="s">
        <v>48</v>
      </c>
      <c r="F192" s="14" t="n">
        <v>18.1</v>
      </c>
      <c r="G192" s="3" t="n">
        <v>4</v>
      </c>
      <c r="H192" s="3" t="s">
        <v>51</v>
      </c>
    </row>
    <row r="193" customFormat="false" ht="15" hidden="false" customHeight="false" outlineLevel="0" collapsed="false">
      <c r="A193" s="5" t="s">
        <v>237</v>
      </c>
      <c r="B193" s="17" t="n">
        <v>45664</v>
      </c>
      <c r="C193" s="5" t="s">
        <v>7</v>
      </c>
      <c r="D193" s="5" t="s">
        <v>42</v>
      </c>
      <c r="E193" s="5" t="s">
        <v>43</v>
      </c>
      <c r="F193" s="15" t="n">
        <v>39.1</v>
      </c>
      <c r="G193" s="5" t="n">
        <v>4</v>
      </c>
      <c r="H193" s="5" t="s">
        <v>44</v>
      </c>
    </row>
    <row r="194" customFormat="false" ht="15" hidden="false" customHeight="false" outlineLevel="0" collapsed="false">
      <c r="A194" s="3" t="s">
        <v>238</v>
      </c>
      <c r="B194" s="16" t="n">
        <v>45904</v>
      </c>
      <c r="C194" s="3" t="s">
        <v>11</v>
      </c>
      <c r="D194" s="3" t="s">
        <v>38</v>
      </c>
      <c r="E194" s="3" t="s">
        <v>48</v>
      </c>
      <c r="F194" s="14" t="n">
        <v>18</v>
      </c>
      <c r="G194" s="3" t="n">
        <v>3</v>
      </c>
      <c r="H194" s="3" t="s">
        <v>40</v>
      </c>
    </row>
    <row r="195" customFormat="false" ht="15" hidden="false" customHeight="false" outlineLevel="0" collapsed="false">
      <c r="A195" s="5" t="s">
        <v>239</v>
      </c>
      <c r="B195" s="17" t="n">
        <v>45966</v>
      </c>
      <c r="C195" s="5" t="s">
        <v>7</v>
      </c>
      <c r="D195" s="5" t="s">
        <v>60</v>
      </c>
      <c r="E195" s="5" t="s">
        <v>39</v>
      </c>
      <c r="F195" s="15" t="n">
        <v>144.6</v>
      </c>
      <c r="G195" s="5" t="n">
        <v>3</v>
      </c>
      <c r="H195" s="5" t="s">
        <v>40</v>
      </c>
    </row>
    <row r="196" customFormat="false" ht="15" hidden="false" customHeight="false" outlineLevel="0" collapsed="false">
      <c r="A196" s="3" t="s">
        <v>240</v>
      </c>
      <c r="B196" s="16" t="n">
        <v>45697</v>
      </c>
      <c r="C196" s="3" t="s">
        <v>11</v>
      </c>
      <c r="D196" s="3" t="s">
        <v>42</v>
      </c>
      <c r="E196" s="3" t="s">
        <v>39</v>
      </c>
      <c r="F196" s="14" t="n">
        <v>26.1</v>
      </c>
      <c r="G196" s="3" t="n">
        <v>5</v>
      </c>
      <c r="H196" s="3" t="s">
        <v>51</v>
      </c>
    </row>
    <row r="197" customFormat="false" ht="15" hidden="false" customHeight="false" outlineLevel="0" collapsed="false">
      <c r="A197" s="5" t="s">
        <v>241</v>
      </c>
      <c r="B197" s="17" t="n">
        <v>45868</v>
      </c>
      <c r="C197" s="5" t="s">
        <v>8</v>
      </c>
      <c r="D197" s="5" t="s">
        <v>38</v>
      </c>
      <c r="E197" s="5" t="s">
        <v>48</v>
      </c>
      <c r="F197" s="15" t="n">
        <v>13.1</v>
      </c>
      <c r="G197" s="5" t="n">
        <v>5</v>
      </c>
      <c r="H197" s="5" t="s">
        <v>44</v>
      </c>
    </row>
    <row r="198" customFormat="false" ht="15" hidden="false" customHeight="false" outlineLevel="0" collapsed="false">
      <c r="A198" s="3" t="s">
        <v>242</v>
      </c>
      <c r="B198" s="16" t="n">
        <v>45799</v>
      </c>
      <c r="C198" s="3" t="s">
        <v>10</v>
      </c>
      <c r="D198" s="3" t="s">
        <v>42</v>
      </c>
      <c r="E198" s="3" t="s">
        <v>48</v>
      </c>
      <c r="F198" s="14" t="n">
        <v>54</v>
      </c>
      <c r="G198" s="3" t="n">
        <v>2</v>
      </c>
      <c r="H198" s="3" t="s">
        <v>44</v>
      </c>
    </row>
    <row r="199" customFormat="false" ht="15" hidden="false" customHeight="false" outlineLevel="0" collapsed="false">
      <c r="A199" s="5" t="s">
        <v>243</v>
      </c>
      <c r="B199" s="17" t="n">
        <v>45991</v>
      </c>
      <c r="C199" s="5" t="s">
        <v>12</v>
      </c>
      <c r="D199" s="5" t="s">
        <v>60</v>
      </c>
      <c r="E199" s="5" t="s">
        <v>46</v>
      </c>
      <c r="F199" s="15" t="n">
        <v>216.3</v>
      </c>
      <c r="G199" s="5" t="n">
        <v>5</v>
      </c>
      <c r="H199" s="5" t="s">
        <v>44</v>
      </c>
    </row>
    <row r="200" customFormat="false" ht="15" hidden="false" customHeight="false" outlineLevel="0" collapsed="false">
      <c r="A200" s="3" t="s">
        <v>244</v>
      </c>
      <c r="B200" s="16" t="n">
        <v>46005</v>
      </c>
      <c r="C200" s="3" t="s">
        <v>13</v>
      </c>
      <c r="D200" s="3" t="s">
        <v>60</v>
      </c>
      <c r="E200" s="3" t="s">
        <v>48</v>
      </c>
      <c r="F200" s="14" t="n">
        <v>138.2</v>
      </c>
      <c r="G200" s="3" t="n">
        <v>5</v>
      </c>
      <c r="H200" s="3" t="s">
        <v>44</v>
      </c>
    </row>
    <row r="201" customFormat="false" ht="15" hidden="false" customHeight="false" outlineLevel="0" collapsed="false">
      <c r="A201" s="5" t="s">
        <v>245</v>
      </c>
      <c r="B201" s="17" t="n">
        <v>45846</v>
      </c>
      <c r="C201" s="5" t="s">
        <v>11</v>
      </c>
      <c r="D201" s="5" t="s">
        <v>60</v>
      </c>
      <c r="E201" s="5" t="s">
        <v>39</v>
      </c>
      <c r="F201" s="15" t="n">
        <v>130.4</v>
      </c>
      <c r="G201" s="5" t="n">
        <v>5</v>
      </c>
      <c r="H201" s="5" t="s">
        <v>51</v>
      </c>
    </row>
    <row r="202" customFormat="false" ht="15" hidden="false" customHeight="false" outlineLevel="0" collapsed="false">
      <c r="A202" s="3" t="s">
        <v>246</v>
      </c>
      <c r="B202" s="16" t="n">
        <v>45969</v>
      </c>
      <c r="C202" s="3" t="s">
        <v>7</v>
      </c>
      <c r="D202" s="3" t="s">
        <v>60</v>
      </c>
      <c r="E202" s="3" t="s">
        <v>43</v>
      </c>
      <c r="F202" s="14" t="n">
        <v>115.2</v>
      </c>
      <c r="G202" s="3" t="n">
        <v>5</v>
      </c>
      <c r="H202" s="3" t="s">
        <v>44</v>
      </c>
    </row>
    <row r="203" customFormat="false" ht="15" hidden="false" customHeight="false" outlineLevel="0" collapsed="false">
      <c r="A203" s="5" t="s">
        <v>247</v>
      </c>
      <c r="B203" s="17" t="n">
        <v>45953</v>
      </c>
      <c r="C203" s="5" t="s">
        <v>8</v>
      </c>
      <c r="D203" s="5" t="s">
        <v>50</v>
      </c>
      <c r="E203" s="5" t="s">
        <v>46</v>
      </c>
      <c r="F203" s="15" t="n">
        <v>3</v>
      </c>
      <c r="G203" s="5" t="n">
        <v>5</v>
      </c>
      <c r="H203" s="5" t="s">
        <v>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248</v>
      </c>
      <c r="B1" s="1"/>
      <c r="C1" s="1"/>
      <c r="D1" s="1"/>
    </row>
    <row r="3" customFormat="false" ht="15" hidden="false" customHeight="false" outlineLevel="0" collapsed="false">
      <c r="A3" s="2" t="s">
        <v>249</v>
      </c>
      <c r="B3" s="2" t="s">
        <v>250</v>
      </c>
      <c r="C3" s="2" t="s">
        <v>251</v>
      </c>
      <c r="D3" s="2" t="s">
        <v>252</v>
      </c>
    </row>
    <row r="4" customFormat="false" ht="15" hidden="false" customHeight="false" outlineLevel="0" collapsed="false">
      <c r="A4" s="3" t="s">
        <v>253</v>
      </c>
      <c r="B4" s="3" t="n">
        <v>620</v>
      </c>
      <c r="C4" s="3" t="n">
        <v>578</v>
      </c>
      <c r="D4" s="9" t="n">
        <f aca="false">C4/B4</f>
        <v>0.932258064516129</v>
      </c>
    </row>
    <row r="5" customFormat="false" ht="15" hidden="false" customHeight="false" outlineLevel="0" collapsed="false">
      <c r="A5" s="5" t="s">
        <v>254</v>
      </c>
      <c r="B5" s="5" t="n">
        <v>75</v>
      </c>
      <c r="C5" s="5" t="n">
        <v>78</v>
      </c>
      <c r="D5" s="10" t="n">
        <f aca="false">C5/B5</f>
        <v>1.04</v>
      </c>
    </row>
    <row r="6" customFormat="false" ht="15" hidden="false" customHeight="false" outlineLevel="0" collapsed="false">
      <c r="A6" s="3" t="s">
        <v>255</v>
      </c>
      <c r="B6" s="3" t="n">
        <v>5.2</v>
      </c>
      <c r="C6" s="3" t="n">
        <v>4.9</v>
      </c>
      <c r="D6" s="9" t="n">
        <f aca="false">C6/B6</f>
        <v>0.942307692307692</v>
      </c>
    </row>
    <row r="7" customFormat="false" ht="15" hidden="false" customHeight="false" outlineLevel="0" collapsed="false">
      <c r="A7" s="5" t="s">
        <v>256</v>
      </c>
      <c r="B7" s="5" t="n">
        <v>88</v>
      </c>
      <c r="C7" s="5" t="n">
        <v>90</v>
      </c>
      <c r="D7" s="10" t="n">
        <f aca="false">C7/B7</f>
        <v>1.02272727272727</v>
      </c>
    </row>
    <row r="8" customFormat="false" ht="15" hidden="false" customHeight="false" outlineLevel="0" collapsed="false">
      <c r="A8" s="3" t="s">
        <v>257</v>
      </c>
      <c r="B8" s="3" t="n">
        <v>35</v>
      </c>
      <c r="C8" s="3" t="n">
        <v>33</v>
      </c>
      <c r="D8" s="9" t="n">
        <f aca="false">C8/B8</f>
        <v>0.942857142857143</v>
      </c>
    </row>
    <row r="9" customFormat="false" ht="15" hidden="false" customHeight="false" outlineLevel="0" collapsed="false">
      <c r="A9" s="5" t="s">
        <v>258</v>
      </c>
      <c r="B9" s="5" t="n">
        <v>45</v>
      </c>
      <c r="C9" s="5" t="n">
        <v>52</v>
      </c>
      <c r="D9" s="10" t="n">
        <f aca="false">C9/B9</f>
        <v>1.15555555555556</v>
      </c>
    </row>
    <row r="10" customFormat="false" ht="15" hidden="false" customHeight="false" outlineLevel="0" collapsed="false">
      <c r="A10" s="3" t="s">
        <v>259</v>
      </c>
      <c r="B10" s="3" t="n">
        <v>2600</v>
      </c>
      <c r="C10" s="3" t="n">
        <v>2745</v>
      </c>
      <c r="D10" s="9" t="n">
        <f aca="false">C10/B10</f>
        <v>1.05576923076923</v>
      </c>
    </row>
    <row r="11" customFormat="false" ht="15" hidden="false" customHeight="false" outlineLevel="0" collapsed="false">
      <c r="A11" s="5" t="s">
        <v>260</v>
      </c>
      <c r="B11" s="5" t="n">
        <v>8.5</v>
      </c>
      <c r="C11" s="5" t="n">
        <v>9.2</v>
      </c>
      <c r="D11" s="10" t="n">
        <f aca="false">C11/B11</f>
        <v>1.08235294117647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2026-08-06T02:31:49Z</dcterms:created>
  <dc:creator>openpyxl</dc:creator>
  <dc:description/>
  <dc:language>en-US</dc:language>
  <cp:lastModifiedBy/>
  <dcterms:modified xsi:type="dcterms:W3CDTF">2026-08-06T02:31:49Z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